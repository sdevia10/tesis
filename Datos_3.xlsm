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.devia10\Desktop\"/>
    </mc:Choice>
  </mc:AlternateContent>
  <bookViews>
    <workbookView xWindow="-120" yWindow="-120" windowWidth="20730" windowHeight="11160"/>
  </bookViews>
  <sheets>
    <sheet name="Hoja1" sheetId="1" r:id="rId1"/>
    <sheet name="Hoja2" sheetId="2" r:id="rId2"/>
    <sheet name="Hoja3" sheetId="3" r:id="rId3"/>
  </sheet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10" i="2" l="1"/>
  <c r="H314" i="2" s="1"/>
  <c r="H318" i="2" s="1"/>
  <c r="H322" i="2" s="1"/>
  <c r="H326" i="2" s="1"/>
  <c r="H330" i="2" s="1"/>
  <c r="H334" i="2" s="1"/>
  <c r="H338" i="2" s="1"/>
  <c r="H342" i="2" s="1"/>
  <c r="H346" i="2" s="1"/>
  <c r="H350" i="2" s="1"/>
  <c r="H354" i="2" s="1"/>
  <c r="H358" i="2" s="1"/>
  <c r="H362" i="2" s="1"/>
  <c r="H366" i="2" s="1"/>
  <c r="H370" i="2" s="1"/>
  <c r="H374" i="2" s="1"/>
  <c r="H378" i="2" s="1"/>
  <c r="G306" i="2"/>
  <c r="G310" i="2" s="1"/>
  <c r="G314" i="2" s="1"/>
  <c r="G318" i="2" s="1"/>
  <c r="G322" i="2" s="1"/>
  <c r="G326" i="2" s="1"/>
  <c r="G330" i="2" s="1"/>
  <c r="G334" i="2" s="1"/>
  <c r="G338" i="2" s="1"/>
  <c r="G342" i="2" s="1"/>
  <c r="G346" i="2" s="1"/>
  <c r="G350" i="2" s="1"/>
  <c r="G354" i="2" s="1"/>
  <c r="G358" i="2" s="1"/>
  <c r="G362" i="2" s="1"/>
  <c r="G366" i="2" s="1"/>
  <c r="G370" i="2" s="1"/>
  <c r="G374" i="2" s="1"/>
  <c r="G378" i="2" s="1"/>
  <c r="H306" i="2"/>
  <c r="I306" i="2"/>
  <c r="I310" i="2" s="1"/>
  <c r="I314" i="2" s="1"/>
  <c r="I318" i="2" s="1"/>
  <c r="I322" i="2" s="1"/>
  <c r="I326" i="2" s="1"/>
  <c r="I330" i="2" s="1"/>
  <c r="I334" i="2" s="1"/>
  <c r="I338" i="2" s="1"/>
  <c r="I342" i="2" s="1"/>
  <c r="I346" i="2" s="1"/>
  <c r="I350" i="2" s="1"/>
  <c r="I354" i="2" s="1"/>
  <c r="I358" i="2" s="1"/>
  <c r="I362" i="2" s="1"/>
  <c r="I366" i="2" s="1"/>
  <c r="I370" i="2" s="1"/>
  <c r="I374" i="2" s="1"/>
  <c r="I378" i="2" s="1"/>
  <c r="J306" i="2"/>
  <c r="J310" i="2" s="1"/>
  <c r="J314" i="2" s="1"/>
  <c r="J318" i="2" s="1"/>
  <c r="J322" i="2" s="1"/>
  <c r="J326" i="2" s="1"/>
  <c r="J330" i="2" s="1"/>
  <c r="J334" i="2" s="1"/>
  <c r="J338" i="2" s="1"/>
  <c r="J342" i="2" s="1"/>
  <c r="J346" i="2" s="1"/>
  <c r="J350" i="2" s="1"/>
  <c r="J354" i="2" s="1"/>
  <c r="J358" i="2" s="1"/>
  <c r="J362" i="2" s="1"/>
  <c r="J366" i="2" s="1"/>
  <c r="J370" i="2" s="1"/>
  <c r="J374" i="2" s="1"/>
  <c r="J378" i="2" s="1"/>
  <c r="K306" i="2"/>
  <c r="K310" i="2" s="1"/>
  <c r="K314" i="2" s="1"/>
  <c r="K318" i="2" s="1"/>
  <c r="K322" i="2" s="1"/>
  <c r="K326" i="2" s="1"/>
  <c r="K330" i="2" s="1"/>
  <c r="K334" i="2" s="1"/>
  <c r="K338" i="2" s="1"/>
  <c r="K342" i="2" s="1"/>
  <c r="K346" i="2" s="1"/>
  <c r="K350" i="2" s="1"/>
  <c r="K354" i="2" s="1"/>
  <c r="K358" i="2" s="1"/>
  <c r="K362" i="2" s="1"/>
  <c r="K366" i="2" s="1"/>
  <c r="K370" i="2" s="1"/>
  <c r="K374" i="2" s="1"/>
  <c r="K378" i="2" s="1"/>
  <c r="F306" i="2"/>
  <c r="F310" i="2" s="1"/>
  <c r="F314" i="2" s="1"/>
  <c r="F318" i="2" s="1"/>
  <c r="F322" i="2" s="1"/>
  <c r="F326" i="2" s="1"/>
  <c r="F330" i="2" s="1"/>
  <c r="F334" i="2" s="1"/>
  <c r="F338" i="2" s="1"/>
  <c r="F342" i="2" s="1"/>
  <c r="F346" i="2" s="1"/>
  <c r="F350" i="2" s="1"/>
  <c r="F354" i="2" s="1"/>
  <c r="F358" i="2" s="1"/>
  <c r="F362" i="2" s="1"/>
  <c r="F366" i="2" s="1"/>
  <c r="F370" i="2" s="1"/>
  <c r="F374" i="2" s="1"/>
  <c r="F378" i="2" s="1"/>
  <c r="J20" i="3" l="1"/>
  <c r="J24" i="3" s="1"/>
  <c r="J28" i="3" s="1"/>
  <c r="J32" i="3" s="1"/>
  <c r="J36" i="3" s="1"/>
  <c r="J40" i="3" s="1"/>
  <c r="J44" i="3" s="1"/>
  <c r="J48" i="3" s="1"/>
  <c r="J52" i="3" s="1"/>
  <c r="J56" i="3" s="1"/>
  <c r="J60" i="3" s="1"/>
  <c r="J64" i="3" s="1"/>
  <c r="J68" i="3" s="1"/>
  <c r="J72" i="3" s="1"/>
  <c r="J76" i="3" s="1"/>
  <c r="J80" i="3" s="1"/>
  <c r="J84" i="3" s="1"/>
  <c r="J88" i="3" s="1"/>
  <c r="F20" i="3"/>
  <c r="F24" i="3" s="1"/>
  <c r="F28" i="3" s="1"/>
  <c r="F32" i="3" s="1"/>
  <c r="F36" i="3" s="1"/>
  <c r="F40" i="3" s="1"/>
  <c r="F44" i="3" s="1"/>
  <c r="F48" i="3" s="1"/>
  <c r="F52" i="3" s="1"/>
  <c r="F56" i="3" s="1"/>
  <c r="F60" i="3" s="1"/>
  <c r="F64" i="3" s="1"/>
  <c r="F68" i="3" s="1"/>
  <c r="F72" i="3" s="1"/>
  <c r="F76" i="3" s="1"/>
  <c r="F80" i="3" s="1"/>
  <c r="F84" i="3" s="1"/>
  <c r="F88" i="3" s="1"/>
  <c r="K16" i="3"/>
  <c r="K20" i="3" s="1"/>
  <c r="K24" i="3" s="1"/>
  <c r="K28" i="3" s="1"/>
  <c r="K32" i="3" s="1"/>
  <c r="K36" i="3" s="1"/>
  <c r="K40" i="3" s="1"/>
  <c r="K44" i="3" s="1"/>
  <c r="K48" i="3" s="1"/>
  <c r="K52" i="3" s="1"/>
  <c r="K56" i="3" s="1"/>
  <c r="K60" i="3" s="1"/>
  <c r="K64" i="3" s="1"/>
  <c r="K68" i="3" s="1"/>
  <c r="K72" i="3" s="1"/>
  <c r="K76" i="3" s="1"/>
  <c r="K80" i="3" s="1"/>
  <c r="K84" i="3" s="1"/>
  <c r="K88" i="3" s="1"/>
  <c r="J16" i="3"/>
  <c r="I16" i="3"/>
  <c r="I20" i="3" s="1"/>
  <c r="I24" i="3" s="1"/>
  <c r="I28" i="3" s="1"/>
  <c r="I32" i="3" s="1"/>
  <c r="I36" i="3" s="1"/>
  <c r="I40" i="3" s="1"/>
  <c r="I44" i="3" s="1"/>
  <c r="I48" i="3" s="1"/>
  <c r="I52" i="3" s="1"/>
  <c r="I56" i="3" s="1"/>
  <c r="I60" i="3" s="1"/>
  <c r="I64" i="3" s="1"/>
  <c r="I68" i="3" s="1"/>
  <c r="I72" i="3" s="1"/>
  <c r="I76" i="3" s="1"/>
  <c r="I80" i="3" s="1"/>
  <c r="I84" i="3" s="1"/>
  <c r="I88" i="3" s="1"/>
  <c r="H16" i="3"/>
  <c r="H20" i="3" s="1"/>
  <c r="H24" i="3" s="1"/>
  <c r="H28" i="3" s="1"/>
  <c r="H32" i="3" s="1"/>
  <c r="H36" i="3" s="1"/>
  <c r="H40" i="3" s="1"/>
  <c r="H44" i="3" s="1"/>
  <c r="H48" i="3" s="1"/>
  <c r="H52" i="3" s="1"/>
  <c r="H56" i="3" s="1"/>
  <c r="H60" i="3" s="1"/>
  <c r="H64" i="3" s="1"/>
  <c r="H68" i="3" s="1"/>
  <c r="H72" i="3" s="1"/>
  <c r="H76" i="3" s="1"/>
  <c r="H80" i="3" s="1"/>
  <c r="H84" i="3" s="1"/>
  <c r="H88" i="3" s="1"/>
  <c r="G16" i="3"/>
  <c r="G20" i="3" s="1"/>
  <c r="G24" i="3" s="1"/>
  <c r="G28" i="3" s="1"/>
  <c r="G32" i="3" s="1"/>
  <c r="G36" i="3" s="1"/>
  <c r="G40" i="3" s="1"/>
  <c r="G44" i="3" s="1"/>
  <c r="G48" i="3" s="1"/>
  <c r="G52" i="3" s="1"/>
  <c r="G56" i="3" s="1"/>
  <c r="G60" i="3" s="1"/>
  <c r="G64" i="3" s="1"/>
  <c r="G68" i="3" s="1"/>
  <c r="G72" i="3" s="1"/>
  <c r="G76" i="3" s="1"/>
  <c r="G80" i="3" s="1"/>
  <c r="G84" i="3" s="1"/>
  <c r="G88" i="3" s="1"/>
  <c r="F16" i="3"/>
  <c r="D463" i="2" l="1"/>
  <c r="D468" i="2" s="1"/>
  <c r="D473" i="2" s="1"/>
  <c r="D478" i="2" s="1"/>
  <c r="D483" i="2" s="1"/>
  <c r="B463" i="2"/>
  <c r="B468" i="2" s="1"/>
  <c r="B473" i="2" s="1"/>
  <c r="B478" i="2" s="1"/>
  <c r="B483" i="2" s="1"/>
  <c r="T456" i="2"/>
  <c r="T455" i="2"/>
  <c r="T454" i="2"/>
  <c r="Q454" i="2"/>
  <c r="T453" i="2"/>
  <c r="Q453" i="2"/>
  <c r="T452" i="2"/>
  <c r="S452" i="2"/>
  <c r="R452" i="2"/>
  <c r="Q452" i="2"/>
  <c r="P452" i="2"/>
  <c r="O452" i="2"/>
  <c r="T451" i="2"/>
  <c r="S451" i="2"/>
  <c r="R451" i="2"/>
  <c r="Q451" i="2"/>
  <c r="P451" i="2"/>
  <c r="O451" i="2"/>
  <c r="T450" i="2"/>
  <c r="S450" i="2"/>
  <c r="R450" i="2"/>
  <c r="Q450" i="2"/>
  <c r="P450" i="2"/>
  <c r="G450" i="2"/>
  <c r="O450" i="2" s="1"/>
  <c r="T449" i="2"/>
  <c r="S449" i="2"/>
  <c r="R449" i="2"/>
  <c r="Q449" i="2"/>
  <c r="P449" i="2"/>
  <c r="O449" i="2"/>
  <c r="T448" i="2"/>
  <c r="S448" i="2"/>
  <c r="R448" i="2"/>
  <c r="Q448" i="2"/>
  <c r="P448" i="2"/>
  <c r="O448" i="2"/>
  <c r="T447" i="2"/>
  <c r="S447" i="2"/>
  <c r="R447" i="2"/>
  <c r="Q447" i="2"/>
  <c r="P447" i="2"/>
  <c r="O447" i="2"/>
  <c r="L440" i="2"/>
  <c r="D303" i="2"/>
  <c r="D307" i="2" s="1"/>
  <c r="D311" i="2" s="1"/>
  <c r="D315" i="2" s="1"/>
  <c r="D319" i="2" s="1"/>
  <c r="D323" i="2" s="1"/>
  <c r="D327" i="2" s="1"/>
  <c r="D331" i="2" s="1"/>
  <c r="D335" i="2" s="1"/>
  <c r="D339" i="2" s="1"/>
  <c r="D343" i="2" s="1"/>
  <c r="D347" i="2" s="1"/>
  <c r="D351" i="2" s="1"/>
  <c r="D355" i="2" s="1"/>
  <c r="D359" i="2" s="1"/>
  <c r="D363" i="2" s="1"/>
  <c r="D367" i="2" s="1"/>
  <c r="D371" i="2" s="1"/>
  <c r="D375" i="2" s="1"/>
  <c r="B299" i="2"/>
  <c r="B303" i="2" s="1"/>
  <c r="B307" i="2" s="1"/>
  <c r="B311" i="2" s="1"/>
  <c r="B315" i="2" s="1"/>
  <c r="B319" i="2" s="1"/>
  <c r="B323" i="2" s="1"/>
  <c r="B327" i="2" s="1"/>
  <c r="B331" i="2" s="1"/>
  <c r="B335" i="2" s="1"/>
  <c r="B339" i="2" s="1"/>
  <c r="B343" i="2" s="1"/>
  <c r="B347" i="2" s="1"/>
  <c r="B351" i="2" s="1"/>
  <c r="B355" i="2" s="1"/>
  <c r="B359" i="2" s="1"/>
  <c r="B363" i="2" s="1"/>
  <c r="B367" i="2" s="1"/>
  <c r="B371" i="2" s="1"/>
  <c r="B375" i="2" s="1"/>
  <c r="R294" i="2"/>
  <c r="Q294" i="2"/>
  <c r="P294" i="2"/>
  <c r="G294" i="2"/>
  <c r="O294" i="2" s="1"/>
  <c r="R293" i="2"/>
  <c r="Q293" i="2"/>
  <c r="P293" i="2"/>
  <c r="G293" i="2"/>
  <c r="O293" i="2" s="1"/>
  <c r="R292" i="2"/>
  <c r="Q292" i="2"/>
  <c r="P292" i="2"/>
  <c r="G292" i="2"/>
  <c r="O292" i="2" s="1"/>
  <c r="R291" i="2"/>
  <c r="Q291" i="2"/>
  <c r="P291" i="2"/>
  <c r="O291" i="2"/>
  <c r="R290" i="2"/>
  <c r="Q290" i="2"/>
  <c r="P290" i="2"/>
  <c r="G290" i="2"/>
  <c r="O290" i="2" s="1"/>
  <c r="R289" i="2"/>
  <c r="Q289" i="2"/>
  <c r="P289" i="2"/>
  <c r="O289" i="2"/>
  <c r="K162" i="2"/>
  <c r="K166" i="2" s="1"/>
  <c r="K170" i="2" s="1"/>
  <c r="K174" i="2" s="1"/>
  <c r="K178" i="2" s="1"/>
  <c r="K182" i="2" s="1"/>
  <c r="K186" i="2" s="1"/>
  <c r="K190" i="2" s="1"/>
  <c r="K194" i="2" s="1"/>
  <c r="K198" i="2" s="1"/>
  <c r="K202" i="2" s="1"/>
  <c r="K206" i="2" s="1"/>
  <c r="K210" i="2" s="1"/>
  <c r="K214" i="2" s="1"/>
  <c r="K218" i="2" s="1"/>
  <c r="K222" i="2" s="1"/>
  <c r="K226" i="2" s="1"/>
  <c r="K230" i="2" s="1"/>
  <c r="K234" i="2" s="1"/>
  <c r="J162" i="2"/>
  <c r="J166" i="2" s="1"/>
  <c r="J170" i="2" s="1"/>
  <c r="J174" i="2" s="1"/>
  <c r="J178" i="2" s="1"/>
  <c r="J182" i="2" s="1"/>
  <c r="J186" i="2" s="1"/>
  <c r="J190" i="2" s="1"/>
  <c r="J194" i="2" s="1"/>
  <c r="J198" i="2" s="1"/>
  <c r="J202" i="2" s="1"/>
  <c r="J206" i="2" s="1"/>
  <c r="J210" i="2" s="1"/>
  <c r="J214" i="2" s="1"/>
  <c r="J218" i="2" s="1"/>
  <c r="J222" i="2" s="1"/>
  <c r="J226" i="2" s="1"/>
  <c r="J230" i="2" s="1"/>
  <c r="J234" i="2" s="1"/>
  <c r="I162" i="2"/>
  <c r="I166" i="2" s="1"/>
  <c r="I170" i="2" s="1"/>
  <c r="I174" i="2" s="1"/>
  <c r="I178" i="2" s="1"/>
  <c r="I182" i="2" s="1"/>
  <c r="I186" i="2" s="1"/>
  <c r="I190" i="2" s="1"/>
  <c r="I194" i="2" s="1"/>
  <c r="I198" i="2" s="1"/>
  <c r="I202" i="2" s="1"/>
  <c r="I206" i="2" s="1"/>
  <c r="I210" i="2" s="1"/>
  <c r="I214" i="2" s="1"/>
  <c r="I218" i="2" s="1"/>
  <c r="I222" i="2" s="1"/>
  <c r="I226" i="2" s="1"/>
  <c r="I230" i="2" s="1"/>
  <c r="I234" i="2" s="1"/>
  <c r="H162" i="2"/>
  <c r="H166" i="2" s="1"/>
  <c r="H170" i="2" s="1"/>
  <c r="H174" i="2" s="1"/>
  <c r="H178" i="2" s="1"/>
  <c r="H182" i="2" s="1"/>
  <c r="H186" i="2" s="1"/>
  <c r="H190" i="2" s="1"/>
  <c r="H194" i="2" s="1"/>
  <c r="H198" i="2" s="1"/>
  <c r="H202" i="2" s="1"/>
  <c r="H206" i="2" s="1"/>
  <c r="H210" i="2" s="1"/>
  <c r="H214" i="2" s="1"/>
  <c r="H218" i="2" s="1"/>
  <c r="H222" i="2" s="1"/>
  <c r="H226" i="2" s="1"/>
  <c r="H230" i="2" s="1"/>
  <c r="H234" i="2" s="1"/>
  <c r="G162" i="2"/>
  <c r="G166" i="2" s="1"/>
  <c r="G170" i="2" s="1"/>
  <c r="G174" i="2" s="1"/>
  <c r="G178" i="2" s="1"/>
  <c r="G182" i="2" s="1"/>
  <c r="G186" i="2" s="1"/>
  <c r="G190" i="2" s="1"/>
  <c r="G194" i="2" s="1"/>
  <c r="G198" i="2" s="1"/>
  <c r="G202" i="2" s="1"/>
  <c r="G206" i="2" s="1"/>
  <c r="G210" i="2" s="1"/>
  <c r="G214" i="2" s="1"/>
  <c r="G218" i="2" s="1"/>
  <c r="G222" i="2" s="1"/>
  <c r="G226" i="2" s="1"/>
  <c r="G230" i="2" s="1"/>
  <c r="G234" i="2" s="1"/>
  <c r="F162" i="2"/>
  <c r="F166" i="2" s="1"/>
  <c r="F170" i="2" s="1"/>
  <c r="F174" i="2" s="1"/>
  <c r="F178" i="2" s="1"/>
  <c r="F182" i="2" s="1"/>
  <c r="F186" i="2" s="1"/>
  <c r="F190" i="2" s="1"/>
  <c r="F194" i="2" s="1"/>
  <c r="F198" i="2" s="1"/>
  <c r="F202" i="2" s="1"/>
  <c r="F206" i="2" s="1"/>
  <c r="F210" i="2" s="1"/>
  <c r="F214" i="2" s="1"/>
  <c r="F218" i="2" s="1"/>
  <c r="F222" i="2" s="1"/>
  <c r="F226" i="2" s="1"/>
  <c r="F230" i="2" s="1"/>
  <c r="F234" i="2" s="1"/>
  <c r="D159" i="2"/>
  <c r="D163" i="2" s="1"/>
  <c r="D167" i="2" s="1"/>
  <c r="D171" i="2" s="1"/>
  <c r="D175" i="2" s="1"/>
  <c r="D179" i="2" s="1"/>
  <c r="D183" i="2" s="1"/>
  <c r="D187" i="2" s="1"/>
  <c r="D191" i="2" s="1"/>
  <c r="D195" i="2" s="1"/>
  <c r="D199" i="2" s="1"/>
  <c r="D203" i="2" s="1"/>
  <c r="D207" i="2" s="1"/>
  <c r="D211" i="2" s="1"/>
  <c r="D215" i="2" s="1"/>
  <c r="D219" i="2" s="1"/>
  <c r="D223" i="2" s="1"/>
  <c r="D227" i="2" s="1"/>
  <c r="D231" i="2" s="1"/>
  <c r="B159" i="2"/>
  <c r="B163" i="2" s="1"/>
  <c r="B167" i="2" s="1"/>
  <c r="B171" i="2" s="1"/>
  <c r="B175" i="2" s="1"/>
  <c r="B179" i="2" s="1"/>
  <c r="B183" i="2" s="1"/>
  <c r="B187" i="2" s="1"/>
  <c r="B191" i="2" s="1"/>
  <c r="B195" i="2" s="1"/>
  <c r="B199" i="2" s="1"/>
  <c r="B203" i="2" s="1"/>
  <c r="B207" i="2" s="1"/>
  <c r="B211" i="2" s="1"/>
  <c r="B215" i="2" s="1"/>
  <c r="B219" i="2" s="1"/>
  <c r="B223" i="2" s="1"/>
  <c r="B227" i="2" s="1"/>
  <c r="B231" i="2" s="1"/>
  <c r="S150" i="2"/>
  <c r="R150" i="2"/>
  <c r="P150" i="2"/>
  <c r="N150" i="2"/>
  <c r="I150" i="2"/>
  <c r="Q150" i="2" s="1"/>
  <c r="G150" i="2"/>
  <c r="O150" i="2" s="1"/>
  <c r="S149" i="2"/>
  <c r="R149" i="2"/>
  <c r="P149" i="2"/>
  <c r="N149" i="2"/>
  <c r="I149" i="2"/>
  <c r="Q149" i="2" s="1"/>
  <c r="G149" i="2"/>
  <c r="O149" i="2" s="1"/>
  <c r="S148" i="2"/>
  <c r="R148" i="2"/>
  <c r="P148" i="2"/>
  <c r="N148" i="2"/>
  <c r="I148" i="2"/>
  <c r="Q148" i="2" s="1"/>
  <c r="G148" i="2"/>
  <c r="O148" i="2" s="1"/>
  <c r="S147" i="2"/>
  <c r="R147" i="2"/>
  <c r="P147" i="2"/>
  <c r="N147" i="2"/>
  <c r="I147" i="2"/>
  <c r="Q147" i="2" s="1"/>
  <c r="G147" i="2"/>
  <c r="O147" i="2" s="1"/>
  <c r="S146" i="2"/>
  <c r="R146" i="2"/>
  <c r="P146" i="2"/>
  <c r="N146" i="2"/>
  <c r="I146" i="2"/>
  <c r="Q146" i="2" s="1"/>
  <c r="G146" i="2"/>
  <c r="O146" i="2" s="1"/>
  <c r="S145" i="2"/>
  <c r="R145" i="2"/>
  <c r="P145" i="2"/>
  <c r="I145" i="2"/>
  <c r="Q145" i="2" s="1"/>
  <c r="G145" i="2"/>
  <c r="O145" i="2" s="1"/>
  <c r="F145" i="2"/>
  <c r="N145" i="2" s="1"/>
  <c r="K25" i="2"/>
  <c r="K29" i="2" s="1"/>
  <c r="K33" i="2" s="1"/>
  <c r="K37" i="2" s="1"/>
  <c r="K41" i="2" s="1"/>
  <c r="K45" i="2" s="1"/>
  <c r="K49" i="2" s="1"/>
  <c r="K53" i="2" s="1"/>
  <c r="K57" i="2" s="1"/>
  <c r="K61" i="2" s="1"/>
  <c r="K65" i="2" s="1"/>
  <c r="K69" i="2" s="1"/>
  <c r="K73" i="2" s="1"/>
  <c r="K77" i="2" s="1"/>
  <c r="K81" i="2" s="1"/>
  <c r="K85" i="2" s="1"/>
  <c r="K89" i="2" s="1"/>
  <c r="K93" i="2" s="1"/>
  <c r="K97" i="2" s="1"/>
  <c r="J25" i="2"/>
  <c r="J29" i="2" s="1"/>
  <c r="J33" i="2" s="1"/>
  <c r="J37" i="2" s="1"/>
  <c r="J41" i="2" s="1"/>
  <c r="J45" i="2" s="1"/>
  <c r="J49" i="2" s="1"/>
  <c r="J53" i="2" s="1"/>
  <c r="J57" i="2" s="1"/>
  <c r="J61" i="2" s="1"/>
  <c r="J65" i="2" s="1"/>
  <c r="J69" i="2" s="1"/>
  <c r="J73" i="2" s="1"/>
  <c r="J77" i="2" s="1"/>
  <c r="J81" i="2" s="1"/>
  <c r="J85" i="2" s="1"/>
  <c r="J89" i="2" s="1"/>
  <c r="J93" i="2" s="1"/>
  <c r="J97" i="2" s="1"/>
  <c r="I25" i="2"/>
  <c r="I29" i="2" s="1"/>
  <c r="I33" i="2" s="1"/>
  <c r="I37" i="2" s="1"/>
  <c r="I41" i="2" s="1"/>
  <c r="I45" i="2" s="1"/>
  <c r="I49" i="2" s="1"/>
  <c r="I53" i="2" s="1"/>
  <c r="I57" i="2" s="1"/>
  <c r="I61" i="2" s="1"/>
  <c r="I65" i="2" s="1"/>
  <c r="I69" i="2" s="1"/>
  <c r="I73" i="2" s="1"/>
  <c r="I77" i="2" s="1"/>
  <c r="I81" i="2" s="1"/>
  <c r="I85" i="2" s="1"/>
  <c r="I89" i="2" s="1"/>
  <c r="I93" i="2" s="1"/>
  <c r="I97" i="2" s="1"/>
  <c r="H25" i="2"/>
  <c r="H29" i="2" s="1"/>
  <c r="H33" i="2" s="1"/>
  <c r="H37" i="2" s="1"/>
  <c r="H41" i="2" s="1"/>
  <c r="H45" i="2" s="1"/>
  <c r="H49" i="2" s="1"/>
  <c r="H53" i="2" s="1"/>
  <c r="H57" i="2" s="1"/>
  <c r="H61" i="2" s="1"/>
  <c r="H65" i="2" s="1"/>
  <c r="H69" i="2" s="1"/>
  <c r="H73" i="2" s="1"/>
  <c r="H77" i="2" s="1"/>
  <c r="H81" i="2" s="1"/>
  <c r="H85" i="2" s="1"/>
  <c r="H89" i="2" s="1"/>
  <c r="H93" i="2" s="1"/>
  <c r="H97" i="2" s="1"/>
  <c r="G25" i="2"/>
  <c r="G29" i="2" s="1"/>
  <c r="G33" i="2" s="1"/>
  <c r="G37" i="2" s="1"/>
  <c r="G41" i="2" s="1"/>
  <c r="G45" i="2" s="1"/>
  <c r="G49" i="2" s="1"/>
  <c r="G53" i="2" s="1"/>
  <c r="G57" i="2" s="1"/>
  <c r="G61" i="2" s="1"/>
  <c r="G65" i="2" s="1"/>
  <c r="G69" i="2" s="1"/>
  <c r="G73" i="2" s="1"/>
  <c r="G77" i="2" s="1"/>
  <c r="G81" i="2" s="1"/>
  <c r="G85" i="2" s="1"/>
  <c r="G89" i="2" s="1"/>
  <c r="G93" i="2" s="1"/>
  <c r="G97" i="2" s="1"/>
  <c r="F25" i="2"/>
  <c r="F29" i="2" s="1"/>
  <c r="F33" i="2" s="1"/>
  <c r="F37" i="2" s="1"/>
  <c r="F41" i="2" s="1"/>
  <c r="F45" i="2" s="1"/>
  <c r="F49" i="2" s="1"/>
  <c r="F53" i="2" s="1"/>
  <c r="F57" i="2" s="1"/>
  <c r="F61" i="2" s="1"/>
  <c r="F65" i="2" s="1"/>
  <c r="F69" i="2" s="1"/>
  <c r="F73" i="2" s="1"/>
  <c r="F77" i="2" s="1"/>
  <c r="F81" i="2" s="1"/>
  <c r="F85" i="2" s="1"/>
  <c r="F89" i="2" s="1"/>
  <c r="F93" i="2" s="1"/>
  <c r="F97" i="2" s="1"/>
  <c r="D18" i="2"/>
  <c r="D22" i="2" s="1"/>
  <c r="D26" i="2" s="1"/>
  <c r="D30" i="2" s="1"/>
  <c r="D34" i="2" s="1"/>
  <c r="D38" i="2" s="1"/>
  <c r="D42" i="2" s="1"/>
  <c r="D46" i="2" s="1"/>
  <c r="D50" i="2" s="1"/>
  <c r="D54" i="2" s="1"/>
  <c r="D58" i="2" s="1"/>
  <c r="D62" i="2" s="1"/>
  <c r="D66" i="2" s="1"/>
  <c r="D70" i="2" s="1"/>
  <c r="D74" i="2" s="1"/>
  <c r="D78" i="2" s="1"/>
  <c r="D82" i="2" s="1"/>
  <c r="D86" i="2" s="1"/>
  <c r="D90" i="2" s="1"/>
  <c r="D94" i="2" s="1"/>
  <c r="R13" i="2"/>
  <c r="Q13" i="2"/>
  <c r="P13" i="2"/>
  <c r="O13" i="2"/>
  <c r="R12" i="2"/>
  <c r="Q12" i="2"/>
  <c r="P12" i="2"/>
  <c r="O12" i="2"/>
  <c r="R11" i="2"/>
  <c r="Q11" i="2"/>
  <c r="P11" i="2"/>
  <c r="O11" i="2"/>
  <c r="R10" i="2"/>
  <c r="Q10" i="2"/>
  <c r="P10" i="2"/>
  <c r="O10" i="2"/>
  <c r="R9" i="2"/>
  <c r="Q9" i="2"/>
  <c r="P9" i="2"/>
  <c r="O9" i="2"/>
  <c r="R8" i="2"/>
  <c r="Q8" i="2"/>
  <c r="P8" i="2"/>
  <c r="O8" i="2"/>
</calcChain>
</file>

<file path=xl/comments1.xml><?xml version="1.0" encoding="utf-8"?>
<comments xmlns="http://schemas.openxmlformats.org/spreadsheetml/2006/main">
  <authors>
    <author>tc={9A5E4FFF-0CE4-4166-BD31-DCD9E400B5B8}</author>
    <author>tc={3EAB859D-5910-46C5-995C-58D5A224D2EA}</author>
    <author>tc={ADA6CA44-6F9F-4257-A6DD-1BEE4FEE0200}</author>
    <author>tc={262117BD-973F-447C-8678-4C411CCCBD4F}</author>
    <author>tc={DECCE1E6-263F-431D-B945-FEC38E4C387A}</author>
    <author>tc={1D31E619-33CD-4B62-8415-A0A11EC4D5E8}</author>
    <author>tc={4424C9B1-760B-4AA9-9683-2048F4E3C79A}</author>
    <author>tc={9257878F-63E2-486A-A9D5-2D54C07570D7}</author>
    <author>tc={4A6F3406-F32B-4444-A7DD-6D004296E162}</author>
    <author>tc={DF9E6734-8DEB-4279-B0DC-A71FBEB98C27}</author>
    <author>tc={83E05377-41B0-4C68-B309-A8981E7861D2}</author>
    <author>tc={7DE5B100-0197-496B-AEF1-3B7BDD785949}</author>
    <author>tc={4587A65C-47D5-4262-A1F5-6CC244CC0E79}</author>
    <author>tc={F7DFC129-AA85-415C-9A66-31940C53FA4B}</author>
  </authors>
  <commentList>
    <comment ref="I207" authorId="0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Nice flavour</t>
        </r>
      </text>
    </comment>
    <comment ref="G231" authorId="1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Muy fuerte amargo</t>
        </r>
      </text>
    </comment>
    <comment ref="H231" authorId="2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segunda mas rica</t>
        </r>
      </text>
    </comment>
    <comment ref="I231" authorId="3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mas rica</t>
        </r>
      </text>
    </comment>
    <comment ref="I339" authorId="4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nice flavour</t>
        </r>
      </text>
    </comment>
    <comment ref="J339" authorId="5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not nice favlour</t>
        </r>
      </text>
    </comment>
    <comment ref="H359" authorId="6" shapeId="0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rica
</t>
        </r>
      </text>
    </comment>
    <comment ref="I359" authorId="7" shapeId="0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mas rica
</t>
        </r>
      </text>
    </comment>
    <comment ref="L447" authorId="8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A3</t>
        </r>
      </text>
    </comment>
    <comment ref="L448" authorId="9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3B</t>
        </r>
      </text>
    </comment>
    <comment ref="L449" authorId="10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3F</t>
        </r>
      </text>
    </comment>
    <comment ref="L450" authorId="11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D3</t>
        </r>
      </text>
    </comment>
    <comment ref="L451" authorId="12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3B</t>
        </r>
      </text>
    </comment>
    <comment ref="L452" authorId="13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3F</t>
        </r>
      </text>
    </comment>
  </commentList>
</comments>
</file>

<file path=xl/sharedStrings.xml><?xml version="1.0" encoding="utf-8"?>
<sst xmlns="http://schemas.openxmlformats.org/spreadsheetml/2006/main" count="632" uniqueCount="64">
  <si>
    <t>Sample</t>
  </si>
  <si>
    <t>DIA</t>
  </si>
  <si>
    <t>Medida</t>
  </si>
  <si>
    <t>A</t>
  </si>
  <si>
    <t>B</t>
  </si>
  <si>
    <t>C</t>
  </si>
  <si>
    <t>D</t>
  </si>
  <si>
    <t>E</t>
  </si>
  <si>
    <t>F</t>
  </si>
  <si>
    <t>Brix</t>
  </si>
  <si>
    <t>pH</t>
  </si>
  <si>
    <t>Temp Max</t>
  </si>
  <si>
    <t>Temp Liq</t>
  </si>
  <si>
    <t>Cant Liquido (L)</t>
  </si>
  <si>
    <t>Tipo Té</t>
  </si>
  <si>
    <t>Cant Té</t>
  </si>
  <si>
    <t>Cant Azucar</t>
  </si>
  <si>
    <t>SCOBY</t>
  </si>
  <si>
    <t>Liq Iniciador</t>
  </si>
  <si>
    <t>Iniciador</t>
  </si>
  <si>
    <t>Agua</t>
  </si>
  <si>
    <t>BATCH</t>
  </si>
  <si>
    <t>RECETA</t>
  </si>
  <si>
    <t>(V/N/M/B)</t>
  </si>
  <si>
    <t>gr</t>
  </si>
  <si>
    <t>L</t>
  </si>
  <si>
    <t>V</t>
  </si>
  <si>
    <t>N</t>
  </si>
  <si>
    <t>M</t>
  </si>
  <si>
    <t>Te_Verde</t>
  </si>
  <si>
    <t>Te_Negro</t>
  </si>
  <si>
    <t>Azucar</t>
  </si>
  <si>
    <t>Liq_Ini</t>
  </si>
  <si>
    <t>Brix_Ini</t>
  </si>
  <si>
    <t>PH_Ini</t>
  </si>
  <si>
    <t>Brix_Out</t>
  </si>
  <si>
    <t>PH_Out</t>
  </si>
  <si>
    <t>Te_Mate</t>
  </si>
  <si>
    <t>Tiempo</t>
  </si>
  <si>
    <t>Preparación</t>
  </si>
  <si>
    <t xml:space="preserve">Fecha </t>
  </si>
  <si>
    <t>cantidad absolutas</t>
  </si>
  <si>
    <t>RESULTADOS</t>
  </si>
  <si>
    <t>RECETA BATCH 1</t>
  </si>
  <si>
    <t>Temp 5pm</t>
  </si>
  <si>
    <t>Temp</t>
  </si>
  <si>
    <t>cantidad por litro</t>
  </si>
  <si>
    <t>RECETA BATCH 2</t>
  </si>
  <si>
    <t>Arriba (+ temp)</t>
  </si>
  <si>
    <t>Creo que se repitio el dato de E y F</t>
  </si>
  <si>
    <t>Fecha preparacion</t>
  </si>
  <si>
    <t>G</t>
  </si>
  <si>
    <t>B3</t>
  </si>
  <si>
    <t>H</t>
  </si>
  <si>
    <t>I</t>
  </si>
  <si>
    <t>A3</t>
  </si>
  <si>
    <t>J</t>
  </si>
  <si>
    <t>1f20</t>
  </si>
  <si>
    <t>1e 20</t>
  </si>
  <si>
    <t>ph</t>
  </si>
  <si>
    <t>brix</t>
  </si>
  <si>
    <t>BRIX</t>
  </si>
  <si>
    <t>Te</t>
  </si>
  <si>
    <t>Agua_disp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</si>
</sst>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DF9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FFF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1" xfId="0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2" xfId="0" applyFont="1" applyBorder="1"/>
    <xf numFmtId="0" fontId="0" fillId="0" borderId="13" xfId="0" applyFont="1" applyBorder="1"/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3" fillId="0" borderId="0" xfId="0" applyFont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" fillId="2" borderId="22" xfId="0" applyFont="1" applyFill="1" applyBorder="1"/>
    <xf numFmtId="14" fontId="3" fillId="2" borderId="23" xfId="0" applyNumberFormat="1" applyFont="1" applyFill="1" applyBorder="1" applyAlignment="1">
      <alignment horizontal="center"/>
    </xf>
    <xf numFmtId="0" fontId="2" fillId="0" borderId="0" xfId="0" applyFont="1"/>
    <xf numFmtId="0" fontId="0" fillId="0" borderId="2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6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0" fillId="0" borderId="8" xfId="0" applyFill="1" applyBorder="1"/>
    <xf numFmtId="0" fontId="0" fillId="0" borderId="9" xfId="0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9" xfId="0" applyFill="1" applyBorder="1"/>
    <xf numFmtId="0" fontId="0" fillId="4" borderId="0" xfId="0" applyFill="1"/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3" borderId="20" xfId="0" applyFill="1" applyBorder="1" applyAlignment="1">
      <alignment horizontal="center" vertical="center"/>
    </xf>
    <xf numFmtId="0" fontId="0" fillId="3" borderId="31" xfId="0" applyFill="1" applyBorder="1"/>
    <xf numFmtId="0" fontId="0" fillId="0" borderId="31" xfId="0" applyFill="1" applyBorder="1" applyAlignment="1">
      <alignment horizontal="right"/>
    </xf>
    <xf numFmtId="0" fontId="0" fillId="0" borderId="0" xfId="0" applyFont="1"/>
    <xf numFmtId="0" fontId="0" fillId="0" borderId="12" xfId="0" applyFill="1" applyBorder="1"/>
    <xf numFmtId="0" fontId="0" fillId="0" borderId="13" xfId="0" applyFill="1" applyBorder="1"/>
    <xf numFmtId="0" fontId="4" fillId="0" borderId="0" xfId="0" applyFont="1"/>
    <xf numFmtId="0" fontId="0" fillId="0" borderId="33" xfId="0" applyBorder="1"/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/>
    <xf numFmtId="0" fontId="0" fillId="3" borderId="33" xfId="0" applyFill="1" applyBorder="1"/>
    <xf numFmtId="0" fontId="0" fillId="0" borderId="7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/>
    <xf numFmtId="0" fontId="0" fillId="0" borderId="0" xfId="0" applyAlignment="1">
      <alignment horizontal="left"/>
    </xf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Font="1" applyBorder="1" applyAlignment="1">
      <alignment horizontal="right"/>
    </xf>
    <xf numFmtId="0" fontId="0" fillId="0" borderId="2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4" borderId="8" xfId="0" applyFill="1" applyBorder="1"/>
    <xf numFmtId="0" fontId="0" fillId="4" borderId="9" xfId="0" applyFill="1" applyBorder="1"/>
    <xf numFmtId="0" fontId="0" fillId="4" borderId="12" xfId="0" applyFill="1" applyBorder="1"/>
    <xf numFmtId="0" fontId="0" fillId="4" borderId="13" xfId="0" applyFill="1" applyBorder="1"/>
    <xf numFmtId="0" fontId="0" fillId="5" borderId="0" xfId="0" applyFill="1" applyAlignment="1">
      <alignment horizontal="center" vertical="center"/>
    </xf>
    <xf numFmtId="0" fontId="0" fillId="5" borderId="0" xfId="0" applyFill="1"/>
    <xf numFmtId="0" fontId="0" fillId="0" borderId="8" xfId="0" applyBorder="1" applyAlignment="1"/>
    <xf numFmtId="0" fontId="3" fillId="0" borderId="0" xfId="0" applyFont="1"/>
    <xf numFmtId="0" fontId="0" fillId="6" borderId="8" xfId="0" applyFill="1" applyBorder="1"/>
    <xf numFmtId="0" fontId="0" fillId="6" borderId="9" xfId="0" applyFill="1" applyBorder="1"/>
    <xf numFmtId="0" fontId="0" fillId="6" borderId="12" xfId="0" applyFill="1" applyBorder="1"/>
    <xf numFmtId="0" fontId="0" fillId="6" borderId="13" xfId="0" applyFill="1" applyBorder="1"/>
    <xf numFmtId="0" fontId="0" fillId="7" borderId="8" xfId="0" applyFill="1" applyBorder="1"/>
    <xf numFmtId="0" fontId="0" fillId="8" borderId="8" xfId="0" applyFill="1" applyBorder="1"/>
    <xf numFmtId="0" fontId="0" fillId="7" borderId="12" xfId="0" applyFill="1" applyBorder="1"/>
    <xf numFmtId="0" fontId="0" fillId="8" borderId="12" xfId="0" applyFill="1" applyBorder="1"/>
    <xf numFmtId="0" fontId="0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2" fillId="0" borderId="9" xfId="0" applyFont="1" applyFill="1" applyBorder="1"/>
    <xf numFmtId="0" fontId="2" fillId="0" borderId="13" xfId="0" applyFont="1" applyFill="1" applyBorder="1"/>
    <xf numFmtId="0" fontId="0" fillId="0" borderId="12" xfId="0" applyFont="1" applyFill="1" applyBorder="1"/>
    <xf numFmtId="0" fontId="0" fillId="9" borderId="8" xfId="0" applyFill="1" applyBorder="1"/>
    <xf numFmtId="0" fontId="0" fillId="2" borderId="8" xfId="0" applyFill="1" applyBorder="1"/>
    <xf numFmtId="0" fontId="0" fillId="9" borderId="12" xfId="0" applyFill="1" applyBorder="1"/>
    <xf numFmtId="0" fontId="0" fillId="2" borderId="12" xfId="0" applyFill="1" applyBorder="1"/>
    <xf numFmtId="14" fontId="0" fillId="0" borderId="0" xfId="0" applyNumberFormat="1"/>
    <xf numFmtId="0" fontId="5" fillId="0" borderId="12" xfId="0" applyFont="1" applyBorder="1" applyAlignment="1">
      <alignment horizontal="center"/>
    </xf>
    <xf numFmtId="0" fontId="0" fillId="0" borderId="12" xfId="0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0" fontId="0" fillId="0" borderId="0" xfId="0" applyNumberFormat="1"/>
    <xf numFmtId="0" fontId="0" fillId="0" borderId="24" xfId="0" applyFill="1" applyBorder="1"/>
    <xf numFmtId="0" fontId="0" fillId="0" borderId="26" xfId="0" applyFill="1" applyBorder="1"/>
    <xf numFmtId="0" fontId="0" fillId="0" borderId="26" xfId="0" applyFont="1" applyFill="1" applyBorder="1"/>
    <xf numFmtId="0" fontId="0" fillId="0" borderId="14" xfId="0" applyFill="1" applyBorder="1"/>
    <xf numFmtId="0" fontId="0" fillId="0" borderId="28" xfId="0" applyFill="1" applyBorder="1"/>
    <xf numFmtId="0" fontId="0" fillId="0" borderId="28" xfId="0" applyBorder="1"/>
    <xf numFmtId="0" fontId="0" fillId="0" borderId="36" xfId="0" applyBorder="1"/>
    <xf numFmtId="0" fontId="0" fillId="0" borderId="24" xfId="0" applyBorder="1"/>
    <xf numFmtId="0" fontId="0" fillId="0" borderId="26" xfId="0" applyBorder="1"/>
    <xf numFmtId="0" fontId="0" fillId="0" borderId="14" xfId="0" applyBorder="1"/>
    <xf numFmtId="0" fontId="3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18" fontId="0" fillId="0" borderId="5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41" fontId="0" fillId="10" borderId="0" xfId="1" applyFont="1" applyFill="1" applyAlignment="1">
      <alignment horizontal="center" vertical="center"/>
    </xf>
    <xf numFmtId="18" fontId="0" fillId="10" borderId="5" xfId="0" applyNumberFormat="1" applyFill="1" applyBorder="1" applyAlignment="1">
      <alignment horizontal="center" vertical="center"/>
    </xf>
    <xf numFmtId="14" fontId="0" fillId="10" borderId="6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8" xfId="0" applyFill="1" applyBorder="1"/>
    <xf numFmtId="0" fontId="0" fillId="10" borderId="9" xfId="0" applyFill="1" applyBorder="1"/>
    <xf numFmtId="14" fontId="0" fillId="10" borderId="10" xfId="0" applyNumberFormat="1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2" xfId="0" applyFill="1" applyBorder="1"/>
    <xf numFmtId="0" fontId="0" fillId="10" borderId="13" xfId="0" applyFill="1" applyBorder="1"/>
    <xf numFmtId="0" fontId="0" fillId="10" borderId="12" xfId="0" applyFont="1" applyFill="1" applyBorder="1"/>
    <xf numFmtId="0" fontId="0" fillId="10" borderId="13" xfId="0" applyFont="1" applyFill="1" applyBorder="1"/>
    <xf numFmtId="14" fontId="0" fillId="10" borderId="14" xfId="0" applyNumberFormat="1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31" xfId="0" applyFill="1" applyBorder="1"/>
    <xf numFmtId="0" fontId="0" fillId="10" borderId="32" xfId="0" applyFill="1" applyBorder="1"/>
    <xf numFmtId="41" fontId="3" fillId="10" borderId="0" xfId="1" applyFont="1" applyFill="1" applyAlignment="1">
      <alignment horizontal="center" vertical="center"/>
    </xf>
    <xf numFmtId="0" fontId="0" fillId="10" borderId="31" xfId="0" applyFill="1" applyBorder="1" applyAlignment="1">
      <alignment horizontal="right"/>
    </xf>
    <xf numFmtId="0" fontId="0" fillId="10" borderId="15" xfId="0" applyFill="1" applyBorder="1" applyAlignment="1">
      <alignment horizontal="center" vertical="center"/>
    </xf>
    <xf numFmtId="0" fontId="0" fillId="10" borderId="16" xfId="0" applyFill="1" applyBorder="1"/>
    <xf numFmtId="0" fontId="0" fillId="10" borderId="33" xfId="0" applyFill="1" applyBorder="1"/>
    <xf numFmtId="0" fontId="0" fillId="10" borderId="12" xfId="0" applyFill="1" applyBorder="1" applyAlignment="1">
      <alignment horizontal="right"/>
    </xf>
    <xf numFmtId="0" fontId="0" fillId="10" borderId="12" xfId="0" applyFont="1" applyFill="1" applyBorder="1" applyAlignment="1">
      <alignment horizontal="right"/>
    </xf>
    <xf numFmtId="0" fontId="0" fillId="10" borderId="0" xfId="0" applyFill="1" applyAlignment="1">
      <alignment horizontal="right" vertical="center"/>
    </xf>
    <xf numFmtId="18" fontId="0" fillId="0" borderId="0" xfId="0" applyNumberForma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/>
    </xf>
    <xf numFmtId="0" fontId="0" fillId="0" borderId="31" xfId="0" applyFont="1" applyFill="1" applyBorder="1"/>
    <xf numFmtId="0" fontId="0" fillId="0" borderId="20" xfId="0" applyFont="1" applyFill="1" applyBorder="1"/>
    <xf numFmtId="0" fontId="0" fillId="13" borderId="12" xfId="0" applyFill="1" applyBorder="1" applyAlignment="1">
      <alignment horizontal="center"/>
    </xf>
    <xf numFmtId="0" fontId="0" fillId="13" borderId="12" xfId="0" applyFill="1" applyBorder="1" applyAlignment="1">
      <alignment horizontal="center" vertical="center"/>
    </xf>
  </cellXfs>
  <cellStyles count="2"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FEFFF"/>
      <color rgb="FFFFFF99"/>
      <color rgb="FFFFCCFF"/>
      <color rgb="FFCDF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antiago Devia Valderrama" id="{2F6C1D8F-B74E-49AC-A189-EFA2154B7FA7}" userId="Santiago Devia Valderrama" providerId="None"/>
  <person displayName="Santiago Devia Valderrama" id="{C591496E-8E49-4F7F-AE54-97602DC37595}" userId="S::s.devia10@uniandes.edu.co::2db7ec5f-a18f-4460-b3a2-01dc88de8834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188" dT="2019-08-05T23:37:39.88" personId="{2F6C1D8F-B74E-49AC-A189-EFA2154B7FA7}" id="{9A5E4FFF-0CE4-4166-BD31-DCD9E400B5B8}">
    <text>Nice flavour</text>
  </threadedComment>
  <threadedComment ref="G218" dT="2019-08-11T21:37:53.84" personId="{2F6C1D8F-B74E-49AC-A189-EFA2154B7FA7}" id="{3EAB859D-5910-46C5-995C-58D5A224D2EA}">
    <text>Muy fuerte amargo</text>
  </threadedComment>
  <threadedComment ref="H218" dT="2019-08-11T21:24:55.48" personId="{2F6C1D8F-B74E-49AC-A189-EFA2154B7FA7}" id="{ADA6CA44-6F9F-4257-A6DD-1BEE4FEE0200}">
    <text>segunda mas rica</text>
  </threadedComment>
  <threadedComment ref="I218" dT="2019-08-11T21:24:41.16" personId="{2F6C1D8F-B74E-49AC-A189-EFA2154B7FA7}" id="{262117BD-973F-447C-8678-4C411CCCBD4F}">
    <text>la mas rica</text>
  </threadedComment>
  <threadedComment ref="I294" dT="2019-08-22T17:08:05.96" personId="{2F6C1D8F-B74E-49AC-A189-EFA2154B7FA7}" id="{DECCE1E6-263F-431D-B945-FEC38E4C387A}">
    <text>nice flavour</text>
  </threadedComment>
  <threadedComment ref="J294" dT="2019-08-22T17:08:24.12" personId="{2F6C1D8F-B74E-49AC-A189-EFA2154B7FA7}" id="{1D31E619-33CD-4B62-8415-A0A11EC4D5E8}">
    <text>not nice favlour</text>
  </threadedComment>
  <threadedComment ref="H319" dT="2019-08-28T01:53:51.61" personId="{C591496E-8E49-4F7F-AE54-97602DC37595}" id="{4424C9B1-760B-4AA9-9683-2048F4E3C79A}">
    <text xml:space="preserve">rica
</text>
  </threadedComment>
  <threadedComment ref="I319" dT="2019-08-28T01:54:07.95" personId="{C591496E-8E49-4F7F-AE54-97602DC37595}" id="{9257878F-63E2-486A-A9D5-2D54C07570D7}">
    <text xml:space="preserve">la mas rica
</text>
  </threadedComment>
  <threadedComment ref="L355" dT="2019-09-08T03:28:59.54" personId="{2F6C1D8F-B74E-49AC-A189-EFA2154B7FA7}" id="{4A6F3406-F32B-4444-A7DD-6D004296E162}">
    <text>A3</text>
  </threadedComment>
  <threadedComment ref="L356" dT="2019-09-08T00:28:34.68" personId="{2F6C1D8F-B74E-49AC-A189-EFA2154B7FA7}" id="{DF9E6734-8DEB-4279-B0DC-A71FBEB98C27}">
    <text>de 3B</text>
  </threadedComment>
  <threadedComment ref="L357" dT="2019-09-08T00:29:03.86" personId="{2F6C1D8F-B74E-49AC-A189-EFA2154B7FA7}" id="{83E05377-41B0-4C68-B309-A8981E7861D2}">
    <text>de 3F</text>
  </threadedComment>
  <threadedComment ref="L358" dT="2019-09-08T03:28:51.51" personId="{2F6C1D8F-B74E-49AC-A189-EFA2154B7FA7}" id="{7DE5B100-0197-496B-AEF1-3B7BDD785949}">
    <text>D3</text>
  </threadedComment>
  <threadedComment ref="L359" dT="2019-09-08T00:28:43.62" personId="{2F6C1D8F-B74E-49AC-A189-EFA2154B7FA7}" id="{4587A65C-47D5-4262-A1F5-6CC244CC0E79}">
    <text>de 3B</text>
  </threadedComment>
  <threadedComment ref="L360" dT="2019-09-08T00:28:55.62" personId="{2F6C1D8F-B74E-49AC-A189-EFA2154B7FA7}" id="{F7DFC129-AA85-415C-9A66-31940C53FA4B}">
    <text>de 3F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385"/>
  <sheetViews>
    <sheetView tabSelected="1" workbookViewId="0">
      <pane ySplit="1" topLeftCell="A2" activePane="bottomLeft" state="frozen"/>
      <selection pane="bottomLeft" activeCell="D47" sqref="D47"/>
    </sheetView>
  </sheetViews>
  <sheetFormatPr baseColWidth="10" defaultRowHeight="15" x14ac:dyDescent="0.25"/>
  <cols>
    <col min="1" max="16" width="11.42578125" style="26"/>
    <col min="17" max="16384" width="11.42578125" style="91"/>
  </cols>
  <sheetData>
    <row r="1" spans="1:25" x14ac:dyDescent="0.25">
      <c r="A1" s="163" t="s">
        <v>0</v>
      </c>
      <c r="B1" s="163" t="s">
        <v>29</v>
      </c>
      <c r="C1" s="163" t="s">
        <v>30</v>
      </c>
      <c r="D1" s="163" t="s">
        <v>37</v>
      </c>
      <c r="E1" s="163" t="s">
        <v>62</v>
      </c>
      <c r="F1" s="163" t="s">
        <v>31</v>
      </c>
      <c r="G1" s="163" t="s">
        <v>17</v>
      </c>
      <c r="H1" s="163" t="s">
        <v>32</v>
      </c>
      <c r="I1" s="163" t="s">
        <v>33</v>
      </c>
      <c r="J1" s="163" t="s">
        <v>34</v>
      </c>
      <c r="K1" s="163" t="s">
        <v>20</v>
      </c>
      <c r="L1" s="163" t="s">
        <v>63</v>
      </c>
      <c r="M1" s="163" t="s">
        <v>45</v>
      </c>
      <c r="N1" s="163" t="s">
        <v>38</v>
      </c>
      <c r="O1" s="163" t="s">
        <v>35</v>
      </c>
      <c r="P1" s="163" t="s">
        <v>36</v>
      </c>
    </row>
    <row r="2" spans="1:25" x14ac:dyDescent="0.25">
      <c r="A2" s="164">
        <v>1</v>
      </c>
      <c r="B2" s="164">
        <v>1</v>
      </c>
      <c r="C2" s="164">
        <v>0</v>
      </c>
      <c r="D2" s="164">
        <v>0</v>
      </c>
      <c r="E2" s="164">
        <v>10</v>
      </c>
      <c r="F2" s="164">
        <v>90</v>
      </c>
      <c r="G2" s="164">
        <v>797</v>
      </c>
      <c r="H2" s="164">
        <v>0.3</v>
      </c>
      <c r="I2" s="164">
        <v>4</v>
      </c>
      <c r="J2" s="164">
        <v>2.8</v>
      </c>
      <c r="K2" s="164">
        <v>3</v>
      </c>
      <c r="L2" s="164">
        <v>3.3</v>
      </c>
      <c r="M2" s="164">
        <v>15.4</v>
      </c>
      <c r="N2" s="164">
        <v>1</v>
      </c>
      <c r="O2" s="164">
        <v>3.8</v>
      </c>
      <c r="P2" s="164">
        <v>3</v>
      </c>
    </row>
    <row r="3" spans="1:25" x14ac:dyDescent="0.25">
      <c r="A3" s="164">
        <v>2</v>
      </c>
      <c r="B3" s="164">
        <v>0</v>
      </c>
      <c r="C3" s="164">
        <v>1</v>
      </c>
      <c r="D3" s="164">
        <v>0</v>
      </c>
      <c r="E3" s="164">
        <v>10</v>
      </c>
      <c r="F3" s="164">
        <v>90</v>
      </c>
      <c r="G3" s="164">
        <v>930</v>
      </c>
      <c r="H3" s="164">
        <v>0.3</v>
      </c>
      <c r="I3" s="164">
        <v>3.8</v>
      </c>
      <c r="J3" s="164">
        <v>2.7</v>
      </c>
      <c r="K3" s="164">
        <v>3</v>
      </c>
      <c r="L3" s="164">
        <v>3.3</v>
      </c>
      <c r="M3" s="164">
        <v>15.5</v>
      </c>
      <c r="N3" s="164">
        <v>1</v>
      </c>
      <c r="O3" s="164">
        <v>3</v>
      </c>
      <c r="P3" s="164">
        <v>3.4</v>
      </c>
    </row>
    <row r="4" spans="1:25" x14ac:dyDescent="0.25">
      <c r="A4" s="164">
        <v>3</v>
      </c>
      <c r="B4" s="164">
        <v>0</v>
      </c>
      <c r="C4" s="164">
        <v>0</v>
      </c>
      <c r="D4" s="164">
        <v>1</v>
      </c>
      <c r="E4" s="164">
        <v>10</v>
      </c>
      <c r="F4" s="164">
        <v>90</v>
      </c>
      <c r="G4" s="164">
        <v>839</v>
      </c>
      <c r="H4" s="164">
        <v>0.3</v>
      </c>
      <c r="I4" s="164">
        <v>4</v>
      </c>
      <c r="J4" s="164">
        <v>2.5</v>
      </c>
      <c r="K4" s="164">
        <v>3</v>
      </c>
      <c r="L4" s="164">
        <v>3.3</v>
      </c>
      <c r="M4" s="164">
        <v>15.5</v>
      </c>
      <c r="N4" s="164">
        <v>1</v>
      </c>
      <c r="O4" s="164">
        <v>3</v>
      </c>
      <c r="P4" s="164">
        <v>3.0999999999999996</v>
      </c>
    </row>
    <row r="5" spans="1:25" x14ac:dyDescent="0.25">
      <c r="A5" s="164">
        <v>4</v>
      </c>
      <c r="B5" s="164">
        <v>1</v>
      </c>
      <c r="C5" s="164">
        <v>0</v>
      </c>
      <c r="D5" s="164">
        <v>0</v>
      </c>
      <c r="E5" s="164">
        <v>10</v>
      </c>
      <c r="F5" s="164">
        <v>180</v>
      </c>
      <c r="G5" s="164">
        <v>772</v>
      </c>
      <c r="H5" s="164">
        <v>0.3</v>
      </c>
      <c r="I5" s="164">
        <v>4</v>
      </c>
      <c r="J5" s="164">
        <v>2.8</v>
      </c>
      <c r="K5" s="164">
        <v>3</v>
      </c>
      <c r="L5" s="164">
        <v>3.3</v>
      </c>
      <c r="M5" s="164">
        <v>15.7</v>
      </c>
      <c r="N5" s="164">
        <v>1</v>
      </c>
      <c r="O5" s="164">
        <v>5.5</v>
      </c>
      <c r="P5" s="164">
        <v>3.3</v>
      </c>
    </row>
    <row r="6" spans="1:25" x14ac:dyDescent="0.25">
      <c r="A6" s="164">
        <v>5</v>
      </c>
      <c r="B6" s="164">
        <v>0</v>
      </c>
      <c r="C6" s="164">
        <v>1</v>
      </c>
      <c r="D6" s="164">
        <v>0</v>
      </c>
      <c r="E6" s="164">
        <v>10</v>
      </c>
      <c r="F6" s="164">
        <v>180</v>
      </c>
      <c r="G6" s="164">
        <v>737</v>
      </c>
      <c r="H6" s="164">
        <v>0.3</v>
      </c>
      <c r="I6" s="164">
        <v>3.8</v>
      </c>
      <c r="J6" s="164">
        <v>2.7</v>
      </c>
      <c r="K6" s="164">
        <v>3</v>
      </c>
      <c r="L6" s="164">
        <v>3.3</v>
      </c>
      <c r="M6" s="164">
        <v>15.4</v>
      </c>
      <c r="N6" s="164">
        <v>1</v>
      </c>
      <c r="O6" s="164">
        <v>5.5</v>
      </c>
      <c r="P6" s="164">
        <v>3.4</v>
      </c>
    </row>
    <row r="7" spans="1:25" x14ac:dyDescent="0.25">
      <c r="A7" s="164">
        <v>6</v>
      </c>
      <c r="B7" s="164">
        <v>0</v>
      </c>
      <c r="C7" s="164">
        <v>0</v>
      </c>
      <c r="D7" s="164">
        <v>1</v>
      </c>
      <c r="E7" s="164">
        <v>10</v>
      </c>
      <c r="F7" s="164">
        <v>180</v>
      </c>
      <c r="G7" s="164">
        <v>756</v>
      </c>
      <c r="H7" s="164">
        <v>0.3</v>
      </c>
      <c r="I7" s="164">
        <v>4</v>
      </c>
      <c r="J7" s="164">
        <v>2.5</v>
      </c>
      <c r="K7" s="164">
        <v>3</v>
      </c>
      <c r="L7" s="164">
        <v>3.3</v>
      </c>
      <c r="M7" s="164">
        <v>15.8</v>
      </c>
      <c r="N7" s="164">
        <v>1</v>
      </c>
      <c r="O7" s="164">
        <v>5.5</v>
      </c>
      <c r="P7" s="164">
        <v>3.3</v>
      </c>
    </row>
    <row r="8" spans="1:25" x14ac:dyDescent="0.25">
      <c r="A8" s="164">
        <v>7</v>
      </c>
      <c r="B8" s="164">
        <v>1</v>
      </c>
      <c r="C8" s="164">
        <v>0</v>
      </c>
      <c r="D8" s="164">
        <v>0</v>
      </c>
      <c r="E8" s="164">
        <v>10</v>
      </c>
      <c r="F8" s="164">
        <v>90</v>
      </c>
      <c r="G8" s="164">
        <v>797</v>
      </c>
      <c r="H8" s="164">
        <v>0.3</v>
      </c>
      <c r="I8" s="164">
        <v>4</v>
      </c>
      <c r="J8" s="164">
        <v>2.8</v>
      </c>
      <c r="K8" s="164">
        <v>3</v>
      </c>
      <c r="L8" s="164">
        <v>3.2749999999999999</v>
      </c>
      <c r="M8" s="164">
        <v>15.7</v>
      </c>
      <c r="N8" s="164">
        <v>2</v>
      </c>
      <c r="O8" s="164">
        <v>3.4</v>
      </c>
      <c r="P8" s="164">
        <v>3.3</v>
      </c>
    </row>
    <row r="9" spans="1:25" x14ac:dyDescent="0.25">
      <c r="A9" s="164">
        <v>8</v>
      </c>
      <c r="B9" s="164">
        <v>0</v>
      </c>
      <c r="C9" s="164">
        <v>1</v>
      </c>
      <c r="D9" s="164">
        <v>0</v>
      </c>
      <c r="E9" s="164">
        <v>10</v>
      </c>
      <c r="F9" s="164">
        <v>90</v>
      </c>
      <c r="G9" s="164">
        <v>930</v>
      </c>
      <c r="H9" s="164">
        <v>0.3</v>
      </c>
      <c r="I9" s="164">
        <v>3.8</v>
      </c>
      <c r="J9" s="164">
        <v>2.7</v>
      </c>
      <c r="K9" s="164">
        <v>3</v>
      </c>
      <c r="L9" s="164">
        <v>3.2749999999999999</v>
      </c>
      <c r="M9" s="164">
        <v>15.6</v>
      </c>
      <c r="N9" s="164">
        <v>2</v>
      </c>
      <c r="O9" s="164">
        <v>3.1</v>
      </c>
      <c r="P9" s="164">
        <v>3.5</v>
      </c>
      <c r="Q9" s="27"/>
      <c r="R9" s="27"/>
      <c r="S9" s="27"/>
      <c r="T9" s="27"/>
      <c r="U9" s="27"/>
      <c r="V9" s="27"/>
      <c r="W9" s="27"/>
      <c r="X9" s="27"/>
      <c r="Y9" s="27"/>
    </row>
    <row r="10" spans="1:25" x14ac:dyDescent="0.25">
      <c r="A10" s="164">
        <v>9</v>
      </c>
      <c r="B10" s="164">
        <v>0</v>
      </c>
      <c r="C10" s="164">
        <v>0</v>
      </c>
      <c r="D10" s="164">
        <v>1</v>
      </c>
      <c r="E10" s="164">
        <v>10</v>
      </c>
      <c r="F10" s="164">
        <v>90</v>
      </c>
      <c r="G10" s="164">
        <v>839</v>
      </c>
      <c r="H10" s="164">
        <v>0.3</v>
      </c>
      <c r="I10" s="164">
        <v>4</v>
      </c>
      <c r="J10" s="164">
        <v>2.5</v>
      </c>
      <c r="K10" s="164">
        <v>3</v>
      </c>
      <c r="L10" s="164">
        <v>3.2749999999999999</v>
      </c>
      <c r="M10" s="164">
        <v>15.4</v>
      </c>
      <c r="N10" s="164">
        <v>2</v>
      </c>
      <c r="O10" s="164">
        <v>3.1</v>
      </c>
      <c r="P10" s="164">
        <v>3.0999999999999996</v>
      </c>
      <c r="Q10" s="27"/>
      <c r="R10" s="27"/>
      <c r="S10" s="27"/>
      <c r="T10" s="27"/>
    </row>
    <row r="11" spans="1:25" x14ac:dyDescent="0.25">
      <c r="A11" s="164">
        <v>10</v>
      </c>
      <c r="B11" s="164">
        <v>1</v>
      </c>
      <c r="C11" s="164">
        <v>0</v>
      </c>
      <c r="D11" s="164">
        <v>0</v>
      </c>
      <c r="E11" s="164">
        <v>10</v>
      </c>
      <c r="F11" s="164">
        <v>180</v>
      </c>
      <c r="G11" s="164">
        <v>772</v>
      </c>
      <c r="H11" s="164">
        <v>0.3</v>
      </c>
      <c r="I11" s="164">
        <v>4</v>
      </c>
      <c r="J11" s="164">
        <v>2.8</v>
      </c>
      <c r="K11" s="164">
        <v>3</v>
      </c>
      <c r="L11" s="164">
        <v>3.2749999999999999</v>
      </c>
      <c r="M11" s="164">
        <v>15.3</v>
      </c>
      <c r="N11" s="164">
        <v>2</v>
      </c>
      <c r="O11" s="164">
        <v>5.8</v>
      </c>
      <c r="P11" s="164">
        <v>3.3</v>
      </c>
      <c r="Q11" s="27"/>
      <c r="R11" s="27"/>
      <c r="S11" s="27"/>
      <c r="T11" s="27"/>
    </row>
    <row r="12" spans="1:25" x14ac:dyDescent="0.25">
      <c r="A12" s="164">
        <v>11</v>
      </c>
      <c r="B12" s="164">
        <v>0</v>
      </c>
      <c r="C12" s="164">
        <v>1</v>
      </c>
      <c r="D12" s="164">
        <v>0</v>
      </c>
      <c r="E12" s="164">
        <v>10</v>
      </c>
      <c r="F12" s="164">
        <v>180</v>
      </c>
      <c r="G12" s="164">
        <v>737</v>
      </c>
      <c r="H12" s="164">
        <v>0.3</v>
      </c>
      <c r="I12" s="164">
        <v>3.8</v>
      </c>
      <c r="J12" s="164">
        <v>2.7</v>
      </c>
      <c r="K12" s="164">
        <v>3</v>
      </c>
      <c r="L12" s="164">
        <v>3.2749999999999999</v>
      </c>
      <c r="M12" s="164">
        <v>15.5</v>
      </c>
      <c r="N12" s="164">
        <v>2</v>
      </c>
      <c r="O12" s="164">
        <v>5.7</v>
      </c>
      <c r="P12" s="164">
        <v>3.3</v>
      </c>
      <c r="Q12" s="27"/>
      <c r="R12" s="27"/>
      <c r="S12" s="27"/>
      <c r="T12" s="27"/>
    </row>
    <row r="13" spans="1:25" x14ac:dyDescent="0.25">
      <c r="A13" s="164">
        <v>12</v>
      </c>
      <c r="B13" s="164">
        <v>0</v>
      </c>
      <c r="C13" s="164">
        <v>0</v>
      </c>
      <c r="D13" s="164">
        <v>1</v>
      </c>
      <c r="E13" s="164">
        <v>10</v>
      </c>
      <c r="F13" s="164">
        <v>180</v>
      </c>
      <c r="G13" s="164">
        <v>756</v>
      </c>
      <c r="H13" s="164">
        <v>0.3</v>
      </c>
      <c r="I13" s="164">
        <v>4</v>
      </c>
      <c r="J13" s="164">
        <v>2.5</v>
      </c>
      <c r="K13" s="164">
        <v>3</v>
      </c>
      <c r="L13" s="164">
        <v>3.2749999999999999</v>
      </c>
      <c r="M13" s="164">
        <v>15.6</v>
      </c>
      <c r="N13" s="164">
        <v>2</v>
      </c>
      <c r="O13" s="164">
        <v>5.8</v>
      </c>
      <c r="P13" s="164">
        <v>3.3</v>
      </c>
      <c r="Q13" s="27"/>
      <c r="R13" s="27"/>
      <c r="S13" s="27"/>
      <c r="T13" s="27"/>
    </row>
    <row r="14" spans="1:25" x14ac:dyDescent="0.25">
      <c r="A14" s="164">
        <v>13</v>
      </c>
      <c r="B14" s="164">
        <v>1</v>
      </c>
      <c r="C14" s="164">
        <v>0</v>
      </c>
      <c r="D14" s="164">
        <v>0</v>
      </c>
      <c r="E14" s="164">
        <v>10</v>
      </c>
      <c r="F14" s="164">
        <v>90</v>
      </c>
      <c r="G14" s="164">
        <v>797</v>
      </c>
      <c r="H14" s="164">
        <v>0.3</v>
      </c>
      <c r="I14" s="164">
        <v>4</v>
      </c>
      <c r="J14" s="164">
        <v>2.8</v>
      </c>
      <c r="K14" s="164">
        <v>3</v>
      </c>
      <c r="L14" s="164">
        <v>3.25</v>
      </c>
      <c r="M14" s="164">
        <v>15.4</v>
      </c>
      <c r="N14" s="164">
        <v>3</v>
      </c>
      <c r="O14" s="164">
        <v>3.4</v>
      </c>
      <c r="P14" s="164">
        <v>3.0999999999999996</v>
      </c>
      <c r="Q14" s="27"/>
      <c r="R14" s="27"/>
      <c r="S14" s="27"/>
      <c r="T14" s="27"/>
    </row>
    <row r="15" spans="1:25" x14ac:dyDescent="0.25">
      <c r="A15" s="164">
        <v>14</v>
      </c>
      <c r="B15" s="164">
        <v>0</v>
      </c>
      <c r="C15" s="164">
        <v>1</v>
      </c>
      <c r="D15" s="164">
        <v>0</v>
      </c>
      <c r="E15" s="164">
        <v>10</v>
      </c>
      <c r="F15" s="164">
        <v>90</v>
      </c>
      <c r="G15" s="164">
        <v>930</v>
      </c>
      <c r="H15" s="164">
        <v>0.3</v>
      </c>
      <c r="I15" s="164">
        <v>3.8</v>
      </c>
      <c r="J15" s="164">
        <v>2.7</v>
      </c>
      <c r="K15" s="164">
        <v>3</v>
      </c>
      <c r="L15" s="164">
        <v>3.25</v>
      </c>
      <c r="M15" s="164">
        <v>15.5</v>
      </c>
      <c r="N15" s="164">
        <v>3</v>
      </c>
      <c r="O15" s="164">
        <v>3.05</v>
      </c>
      <c r="P15" s="164">
        <v>3.4</v>
      </c>
      <c r="Q15" s="27"/>
      <c r="R15" s="27"/>
      <c r="S15" s="27"/>
      <c r="T15" s="27"/>
    </row>
    <row r="16" spans="1:25" x14ac:dyDescent="0.25">
      <c r="A16" s="164">
        <v>15</v>
      </c>
      <c r="B16" s="164">
        <v>0</v>
      </c>
      <c r="C16" s="164">
        <v>0</v>
      </c>
      <c r="D16" s="164">
        <v>1</v>
      </c>
      <c r="E16" s="164">
        <v>10</v>
      </c>
      <c r="F16" s="164">
        <v>90</v>
      </c>
      <c r="G16" s="164">
        <v>839</v>
      </c>
      <c r="H16" s="164">
        <v>0.3</v>
      </c>
      <c r="I16" s="164">
        <v>4</v>
      </c>
      <c r="J16" s="164">
        <v>2.5</v>
      </c>
      <c r="K16" s="164">
        <v>3</v>
      </c>
      <c r="L16" s="164">
        <v>3.25</v>
      </c>
      <c r="M16" s="164">
        <v>15.4</v>
      </c>
      <c r="N16" s="164">
        <v>3</v>
      </c>
      <c r="O16" s="164">
        <v>3.1</v>
      </c>
      <c r="P16" s="164">
        <v>3.1999999999999997</v>
      </c>
      <c r="Q16" s="27"/>
      <c r="R16" s="27"/>
      <c r="S16" s="27"/>
      <c r="T16" s="27"/>
    </row>
    <row r="17" spans="1:20" x14ac:dyDescent="0.25">
      <c r="A17" s="164">
        <v>16</v>
      </c>
      <c r="B17" s="164">
        <v>1</v>
      </c>
      <c r="C17" s="164">
        <v>0</v>
      </c>
      <c r="D17" s="164">
        <v>0</v>
      </c>
      <c r="E17" s="164">
        <v>10</v>
      </c>
      <c r="F17" s="164">
        <v>180</v>
      </c>
      <c r="G17" s="164">
        <v>772</v>
      </c>
      <c r="H17" s="164">
        <v>0.3</v>
      </c>
      <c r="I17" s="164">
        <v>4</v>
      </c>
      <c r="J17" s="164">
        <v>2.8</v>
      </c>
      <c r="K17" s="164">
        <v>3</v>
      </c>
      <c r="L17" s="164">
        <v>3.25</v>
      </c>
      <c r="M17" s="164">
        <v>15.3</v>
      </c>
      <c r="N17" s="164">
        <v>3</v>
      </c>
      <c r="O17" s="164">
        <v>5.6</v>
      </c>
      <c r="P17" s="164">
        <v>3.5</v>
      </c>
      <c r="Q17" s="27"/>
      <c r="R17" s="27"/>
      <c r="S17" s="27"/>
      <c r="T17" s="27"/>
    </row>
    <row r="18" spans="1:20" x14ac:dyDescent="0.25">
      <c r="A18" s="164">
        <v>17</v>
      </c>
      <c r="B18" s="164">
        <v>0</v>
      </c>
      <c r="C18" s="164">
        <v>1</v>
      </c>
      <c r="D18" s="164">
        <v>0</v>
      </c>
      <c r="E18" s="164">
        <v>10</v>
      </c>
      <c r="F18" s="164">
        <v>180</v>
      </c>
      <c r="G18" s="164">
        <v>737</v>
      </c>
      <c r="H18" s="164">
        <v>0.3</v>
      </c>
      <c r="I18" s="164">
        <v>3.8</v>
      </c>
      <c r="J18" s="164">
        <v>2.7</v>
      </c>
      <c r="K18" s="164">
        <v>3</v>
      </c>
      <c r="L18" s="164">
        <v>3.25</v>
      </c>
      <c r="M18" s="164">
        <v>15.5</v>
      </c>
      <c r="N18" s="164">
        <v>3</v>
      </c>
      <c r="O18" s="164">
        <v>5.4</v>
      </c>
      <c r="P18" s="164">
        <v>3.4</v>
      </c>
      <c r="Q18" s="27"/>
      <c r="R18" s="27"/>
      <c r="S18" s="27"/>
      <c r="T18" s="27"/>
    </row>
    <row r="19" spans="1:20" x14ac:dyDescent="0.25">
      <c r="A19" s="164">
        <v>18</v>
      </c>
      <c r="B19" s="164">
        <v>0</v>
      </c>
      <c r="C19" s="164">
        <v>0</v>
      </c>
      <c r="D19" s="164">
        <v>1</v>
      </c>
      <c r="E19" s="164">
        <v>10</v>
      </c>
      <c r="F19" s="164">
        <v>180</v>
      </c>
      <c r="G19" s="164">
        <v>756</v>
      </c>
      <c r="H19" s="164">
        <v>0.3</v>
      </c>
      <c r="I19" s="164">
        <v>4</v>
      </c>
      <c r="J19" s="164">
        <v>2.5</v>
      </c>
      <c r="K19" s="164">
        <v>3</v>
      </c>
      <c r="L19" s="164">
        <v>3.25</v>
      </c>
      <c r="M19" s="164">
        <v>15.7</v>
      </c>
      <c r="N19" s="164">
        <v>3</v>
      </c>
      <c r="O19" s="164">
        <v>5.4</v>
      </c>
      <c r="P19" s="164">
        <v>3.4</v>
      </c>
      <c r="Q19" s="27"/>
      <c r="R19" s="27"/>
      <c r="S19" s="27"/>
      <c r="T19" s="27"/>
    </row>
    <row r="20" spans="1:20" x14ac:dyDescent="0.25">
      <c r="A20" s="164">
        <v>19</v>
      </c>
      <c r="B20" s="164">
        <v>1</v>
      </c>
      <c r="C20" s="164">
        <v>0</v>
      </c>
      <c r="D20" s="164">
        <v>0</v>
      </c>
      <c r="E20" s="164">
        <v>10</v>
      </c>
      <c r="F20" s="164">
        <v>90</v>
      </c>
      <c r="G20" s="164">
        <v>797</v>
      </c>
      <c r="H20" s="164">
        <v>0.3</v>
      </c>
      <c r="I20" s="164">
        <v>4</v>
      </c>
      <c r="J20" s="164">
        <v>2.8</v>
      </c>
      <c r="K20" s="164">
        <v>3</v>
      </c>
      <c r="L20" s="164">
        <v>3.2250000000000001</v>
      </c>
      <c r="M20" s="164">
        <v>16.100000000000001</v>
      </c>
      <c r="N20" s="164">
        <v>4</v>
      </c>
      <c r="O20" s="164">
        <v>3.35</v>
      </c>
      <c r="P20" s="164">
        <v>3.3</v>
      </c>
      <c r="Q20" s="27"/>
      <c r="R20" s="27"/>
      <c r="S20" s="27"/>
      <c r="T20" s="27"/>
    </row>
    <row r="21" spans="1:20" x14ac:dyDescent="0.25">
      <c r="A21" s="164">
        <v>20</v>
      </c>
      <c r="B21" s="164">
        <v>0</v>
      </c>
      <c r="C21" s="164">
        <v>1</v>
      </c>
      <c r="D21" s="164">
        <v>0</v>
      </c>
      <c r="E21" s="164">
        <v>10</v>
      </c>
      <c r="F21" s="164">
        <v>90</v>
      </c>
      <c r="G21" s="164">
        <v>930</v>
      </c>
      <c r="H21" s="164">
        <v>0.3</v>
      </c>
      <c r="I21" s="164">
        <v>3.8</v>
      </c>
      <c r="J21" s="164">
        <v>2.7</v>
      </c>
      <c r="K21" s="164">
        <v>3</v>
      </c>
      <c r="L21" s="164">
        <v>3.2250000000000001</v>
      </c>
      <c r="M21" s="164">
        <v>15.8</v>
      </c>
      <c r="N21" s="164">
        <v>4</v>
      </c>
      <c r="O21" s="164">
        <v>3</v>
      </c>
      <c r="P21" s="164">
        <v>3.4</v>
      </c>
    </row>
    <row r="22" spans="1:20" x14ac:dyDescent="0.25">
      <c r="A22" s="164">
        <v>21</v>
      </c>
      <c r="B22" s="164">
        <v>0</v>
      </c>
      <c r="C22" s="164">
        <v>0</v>
      </c>
      <c r="D22" s="164">
        <v>1</v>
      </c>
      <c r="E22" s="164">
        <v>10</v>
      </c>
      <c r="F22" s="164">
        <v>90</v>
      </c>
      <c r="G22" s="164">
        <v>839</v>
      </c>
      <c r="H22" s="164">
        <v>0.3</v>
      </c>
      <c r="I22" s="164">
        <v>4</v>
      </c>
      <c r="J22" s="164">
        <v>2.5</v>
      </c>
      <c r="K22" s="164">
        <v>3</v>
      </c>
      <c r="L22" s="164">
        <v>3.2250000000000001</v>
      </c>
      <c r="M22" s="164">
        <v>15.9</v>
      </c>
      <c r="N22" s="164">
        <v>4</v>
      </c>
      <c r="O22" s="164">
        <v>3.1</v>
      </c>
      <c r="P22" s="164">
        <v>3.0999999999999996</v>
      </c>
    </row>
    <row r="23" spans="1:20" x14ac:dyDescent="0.25">
      <c r="A23" s="164">
        <v>22</v>
      </c>
      <c r="B23" s="164">
        <v>1</v>
      </c>
      <c r="C23" s="164">
        <v>0</v>
      </c>
      <c r="D23" s="164">
        <v>0</v>
      </c>
      <c r="E23" s="164">
        <v>10</v>
      </c>
      <c r="F23" s="164">
        <v>180</v>
      </c>
      <c r="G23" s="164">
        <v>772</v>
      </c>
      <c r="H23" s="164">
        <v>0.3</v>
      </c>
      <c r="I23" s="164">
        <v>4</v>
      </c>
      <c r="J23" s="164">
        <v>2.8</v>
      </c>
      <c r="K23" s="164">
        <v>3</v>
      </c>
      <c r="L23" s="164">
        <v>3.2250000000000001</v>
      </c>
      <c r="M23" s="164">
        <v>15.9</v>
      </c>
      <c r="N23" s="164">
        <v>4</v>
      </c>
      <c r="O23" s="164">
        <v>5.8</v>
      </c>
      <c r="P23" s="164">
        <v>3.4</v>
      </c>
    </row>
    <row r="24" spans="1:20" x14ac:dyDescent="0.25">
      <c r="A24" s="164">
        <v>23</v>
      </c>
      <c r="B24" s="164">
        <v>0</v>
      </c>
      <c r="C24" s="164">
        <v>1</v>
      </c>
      <c r="D24" s="164">
        <v>0</v>
      </c>
      <c r="E24" s="164">
        <v>10</v>
      </c>
      <c r="F24" s="164">
        <v>180</v>
      </c>
      <c r="G24" s="164">
        <v>737</v>
      </c>
      <c r="H24" s="164">
        <v>0.3</v>
      </c>
      <c r="I24" s="164">
        <v>3.8</v>
      </c>
      <c r="J24" s="164">
        <v>2.7</v>
      </c>
      <c r="K24" s="164">
        <v>3</v>
      </c>
      <c r="L24" s="164">
        <v>3.2250000000000001</v>
      </c>
      <c r="M24" s="164">
        <v>16</v>
      </c>
      <c r="N24" s="164">
        <v>4</v>
      </c>
      <c r="O24" s="164">
        <v>5.65</v>
      </c>
      <c r="P24" s="164">
        <v>3.3</v>
      </c>
    </row>
    <row r="25" spans="1:20" x14ac:dyDescent="0.25">
      <c r="A25" s="164">
        <v>24</v>
      </c>
      <c r="B25" s="164">
        <v>0</v>
      </c>
      <c r="C25" s="164">
        <v>0</v>
      </c>
      <c r="D25" s="164">
        <v>1</v>
      </c>
      <c r="E25" s="164">
        <v>10</v>
      </c>
      <c r="F25" s="164">
        <v>180</v>
      </c>
      <c r="G25" s="164">
        <v>756</v>
      </c>
      <c r="H25" s="164">
        <v>0.3</v>
      </c>
      <c r="I25" s="164">
        <v>4</v>
      </c>
      <c r="J25" s="164">
        <v>2.5</v>
      </c>
      <c r="K25" s="164">
        <v>3</v>
      </c>
      <c r="L25" s="164">
        <v>3.2250000000000001</v>
      </c>
      <c r="M25" s="164">
        <v>16</v>
      </c>
      <c r="N25" s="164">
        <v>4</v>
      </c>
      <c r="O25" s="164">
        <v>5.8</v>
      </c>
      <c r="P25" s="164">
        <v>3.3</v>
      </c>
    </row>
    <row r="26" spans="1:20" x14ac:dyDescent="0.25">
      <c r="A26" s="164">
        <v>25</v>
      </c>
      <c r="B26" s="164">
        <v>1</v>
      </c>
      <c r="C26" s="164">
        <v>0</v>
      </c>
      <c r="D26" s="164">
        <v>0</v>
      </c>
      <c r="E26" s="164">
        <v>10</v>
      </c>
      <c r="F26" s="164">
        <v>90</v>
      </c>
      <c r="G26" s="164">
        <v>797</v>
      </c>
      <c r="H26" s="164">
        <v>0.3</v>
      </c>
      <c r="I26" s="164">
        <v>4</v>
      </c>
      <c r="J26" s="164">
        <v>2.8</v>
      </c>
      <c r="K26" s="164">
        <v>3</v>
      </c>
      <c r="L26" s="164">
        <v>3.2</v>
      </c>
      <c r="M26" s="164">
        <v>15.6</v>
      </c>
      <c r="N26" s="164">
        <v>5</v>
      </c>
      <c r="O26" s="164">
        <v>3.1</v>
      </c>
      <c r="P26" s="164">
        <v>3.0999999999999996</v>
      </c>
    </row>
    <row r="27" spans="1:20" x14ac:dyDescent="0.25">
      <c r="A27" s="164">
        <v>26</v>
      </c>
      <c r="B27" s="164">
        <v>0</v>
      </c>
      <c r="C27" s="164">
        <v>1</v>
      </c>
      <c r="D27" s="164">
        <v>0</v>
      </c>
      <c r="E27" s="164">
        <v>10</v>
      </c>
      <c r="F27" s="164">
        <v>90</v>
      </c>
      <c r="G27" s="164">
        <v>930</v>
      </c>
      <c r="H27" s="164">
        <v>0.3</v>
      </c>
      <c r="I27" s="164">
        <v>3.8</v>
      </c>
      <c r="J27" s="164">
        <v>2.7</v>
      </c>
      <c r="K27" s="164">
        <v>3</v>
      </c>
      <c r="L27" s="164">
        <v>3.2</v>
      </c>
      <c r="M27" s="164">
        <v>15.5</v>
      </c>
      <c r="N27" s="164">
        <v>5</v>
      </c>
      <c r="O27" s="164">
        <v>3.05</v>
      </c>
      <c r="P27" s="164">
        <v>3.3</v>
      </c>
    </row>
    <row r="28" spans="1:20" x14ac:dyDescent="0.25">
      <c r="A28" s="164">
        <v>27</v>
      </c>
      <c r="B28" s="164">
        <v>0</v>
      </c>
      <c r="C28" s="164">
        <v>0</v>
      </c>
      <c r="D28" s="164">
        <v>1</v>
      </c>
      <c r="E28" s="164">
        <v>10</v>
      </c>
      <c r="F28" s="164">
        <v>90</v>
      </c>
      <c r="G28" s="164">
        <v>839</v>
      </c>
      <c r="H28" s="164">
        <v>0.3</v>
      </c>
      <c r="I28" s="164">
        <v>4</v>
      </c>
      <c r="J28" s="164">
        <v>2.5</v>
      </c>
      <c r="K28" s="164">
        <v>3</v>
      </c>
      <c r="L28" s="164">
        <v>3.2</v>
      </c>
      <c r="M28" s="164">
        <v>15.5</v>
      </c>
      <c r="N28" s="164">
        <v>5</v>
      </c>
      <c r="O28" s="164">
        <v>3</v>
      </c>
      <c r="P28" s="164">
        <v>3</v>
      </c>
    </row>
    <row r="29" spans="1:20" x14ac:dyDescent="0.25">
      <c r="A29" s="164">
        <v>28</v>
      </c>
      <c r="B29" s="164">
        <v>1</v>
      </c>
      <c r="C29" s="164">
        <v>0</v>
      </c>
      <c r="D29" s="164">
        <v>0</v>
      </c>
      <c r="E29" s="164">
        <v>10</v>
      </c>
      <c r="F29" s="164">
        <v>180</v>
      </c>
      <c r="G29" s="164">
        <v>772</v>
      </c>
      <c r="H29" s="164">
        <v>0.3</v>
      </c>
      <c r="I29" s="164">
        <v>4</v>
      </c>
      <c r="J29" s="164">
        <v>2.8</v>
      </c>
      <c r="K29" s="164">
        <v>3</v>
      </c>
      <c r="L29" s="164">
        <v>3.2</v>
      </c>
      <c r="M29" s="164">
        <v>15.7</v>
      </c>
      <c r="N29" s="164">
        <v>5</v>
      </c>
      <c r="O29" s="164">
        <v>5.5</v>
      </c>
      <c r="P29" s="164">
        <v>3.3</v>
      </c>
    </row>
    <row r="30" spans="1:20" x14ac:dyDescent="0.25">
      <c r="A30" s="164">
        <v>29</v>
      </c>
      <c r="B30" s="164">
        <v>0</v>
      </c>
      <c r="C30" s="164">
        <v>1</v>
      </c>
      <c r="D30" s="164">
        <v>0</v>
      </c>
      <c r="E30" s="164">
        <v>10</v>
      </c>
      <c r="F30" s="164">
        <v>180</v>
      </c>
      <c r="G30" s="164">
        <v>737</v>
      </c>
      <c r="H30" s="164">
        <v>0.3</v>
      </c>
      <c r="I30" s="164">
        <v>3.8</v>
      </c>
      <c r="J30" s="164">
        <v>2.7</v>
      </c>
      <c r="K30" s="164">
        <v>3</v>
      </c>
      <c r="L30" s="164">
        <v>3.2</v>
      </c>
      <c r="M30" s="164">
        <v>15.4</v>
      </c>
      <c r="N30" s="164">
        <v>5</v>
      </c>
      <c r="O30" s="164">
        <v>5.45</v>
      </c>
      <c r="P30" s="164">
        <v>3.1999999999999997</v>
      </c>
    </row>
    <row r="31" spans="1:20" x14ac:dyDescent="0.25">
      <c r="A31" s="164">
        <v>30</v>
      </c>
      <c r="B31" s="164">
        <v>0</v>
      </c>
      <c r="C31" s="164">
        <v>0</v>
      </c>
      <c r="D31" s="164">
        <v>1</v>
      </c>
      <c r="E31" s="164">
        <v>10</v>
      </c>
      <c r="F31" s="164">
        <v>180</v>
      </c>
      <c r="G31" s="164">
        <v>756</v>
      </c>
      <c r="H31" s="164">
        <v>0.3</v>
      </c>
      <c r="I31" s="164">
        <v>4</v>
      </c>
      <c r="J31" s="164">
        <v>2.5</v>
      </c>
      <c r="K31" s="164">
        <v>3</v>
      </c>
      <c r="L31" s="164">
        <v>3.2</v>
      </c>
      <c r="M31" s="164">
        <v>15.5</v>
      </c>
      <c r="N31" s="164">
        <v>5</v>
      </c>
      <c r="O31" s="164">
        <v>5.4</v>
      </c>
      <c r="P31" s="164">
        <v>3.1999999999999997</v>
      </c>
    </row>
    <row r="32" spans="1:20" x14ac:dyDescent="0.25">
      <c r="A32" s="164">
        <v>31</v>
      </c>
      <c r="B32" s="164">
        <v>1</v>
      </c>
      <c r="C32" s="164">
        <v>0</v>
      </c>
      <c r="D32" s="164">
        <v>0</v>
      </c>
      <c r="E32" s="164">
        <v>10</v>
      </c>
      <c r="F32" s="164">
        <v>90</v>
      </c>
      <c r="G32" s="164">
        <v>797</v>
      </c>
      <c r="H32" s="164">
        <v>0.3</v>
      </c>
      <c r="I32" s="164">
        <v>4</v>
      </c>
      <c r="J32" s="164">
        <v>2.8</v>
      </c>
      <c r="K32" s="164">
        <v>3</v>
      </c>
      <c r="L32" s="164">
        <v>2.8000000000000003</v>
      </c>
      <c r="M32" s="164">
        <v>16</v>
      </c>
      <c r="N32" s="164">
        <v>6</v>
      </c>
      <c r="O32" s="164">
        <v>3.2</v>
      </c>
      <c r="P32" s="164">
        <v>3.0999999999999996</v>
      </c>
    </row>
    <row r="33" spans="1:16" x14ac:dyDescent="0.25">
      <c r="A33" s="164">
        <v>32</v>
      </c>
      <c r="B33" s="164">
        <v>0</v>
      </c>
      <c r="C33" s="164">
        <v>1</v>
      </c>
      <c r="D33" s="164">
        <v>0</v>
      </c>
      <c r="E33" s="164">
        <v>10</v>
      </c>
      <c r="F33" s="164">
        <v>90</v>
      </c>
      <c r="G33" s="164">
        <v>930</v>
      </c>
      <c r="H33" s="164">
        <v>0.3</v>
      </c>
      <c r="I33" s="164">
        <v>3.8</v>
      </c>
      <c r="J33" s="164">
        <v>2.7</v>
      </c>
      <c r="K33" s="164">
        <v>3</v>
      </c>
      <c r="L33" s="164">
        <v>2.8000000000000003</v>
      </c>
      <c r="M33" s="164">
        <v>15.4</v>
      </c>
      <c r="N33" s="164">
        <v>6</v>
      </c>
      <c r="O33" s="164">
        <v>3.05</v>
      </c>
      <c r="P33" s="164">
        <v>3.3</v>
      </c>
    </row>
    <row r="34" spans="1:16" x14ac:dyDescent="0.25">
      <c r="A34" s="164">
        <v>33</v>
      </c>
      <c r="B34" s="164">
        <v>0</v>
      </c>
      <c r="C34" s="164">
        <v>0</v>
      </c>
      <c r="D34" s="164">
        <v>1</v>
      </c>
      <c r="E34" s="164">
        <v>10</v>
      </c>
      <c r="F34" s="164">
        <v>90</v>
      </c>
      <c r="G34" s="164">
        <v>839</v>
      </c>
      <c r="H34" s="164">
        <v>0.3</v>
      </c>
      <c r="I34" s="164">
        <v>4</v>
      </c>
      <c r="J34" s="164">
        <v>2.5</v>
      </c>
      <c r="K34" s="164">
        <v>3</v>
      </c>
      <c r="L34" s="164">
        <v>2.8000000000000003</v>
      </c>
      <c r="M34" s="164">
        <v>15.5</v>
      </c>
      <c r="N34" s="164">
        <v>6</v>
      </c>
      <c r="O34" s="164">
        <v>3</v>
      </c>
      <c r="P34" s="164">
        <v>3.0999999999999996</v>
      </c>
    </row>
    <row r="35" spans="1:16" x14ac:dyDescent="0.25">
      <c r="A35" s="164">
        <v>34</v>
      </c>
      <c r="B35" s="164">
        <v>1</v>
      </c>
      <c r="C35" s="164">
        <v>0</v>
      </c>
      <c r="D35" s="164">
        <v>0</v>
      </c>
      <c r="E35" s="164">
        <v>10</v>
      </c>
      <c r="F35" s="164">
        <v>180</v>
      </c>
      <c r="G35" s="164">
        <v>772</v>
      </c>
      <c r="H35" s="164">
        <v>0.3</v>
      </c>
      <c r="I35" s="164">
        <v>4</v>
      </c>
      <c r="J35" s="164">
        <v>2.8</v>
      </c>
      <c r="K35" s="164">
        <v>3</v>
      </c>
      <c r="L35" s="164">
        <v>2.8000000000000003</v>
      </c>
      <c r="M35" s="164">
        <v>15.8</v>
      </c>
      <c r="N35" s="164">
        <v>6</v>
      </c>
      <c r="O35" s="164">
        <v>5.4</v>
      </c>
      <c r="P35" s="164">
        <v>3.3</v>
      </c>
    </row>
    <row r="36" spans="1:16" x14ac:dyDescent="0.25">
      <c r="A36" s="164">
        <v>35</v>
      </c>
      <c r="B36" s="164">
        <v>0</v>
      </c>
      <c r="C36" s="164">
        <v>1</v>
      </c>
      <c r="D36" s="164">
        <v>0</v>
      </c>
      <c r="E36" s="164">
        <v>10</v>
      </c>
      <c r="F36" s="164">
        <v>180</v>
      </c>
      <c r="G36" s="164">
        <v>737</v>
      </c>
      <c r="H36" s="164">
        <v>0.3</v>
      </c>
      <c r="I36" s="164">
        <v>3.8</v>
      </c>
      <c r="J36" s="164">
        <v>2.7</v>
      </c>
      <c r="K36" s="164">
        <v>3</v>
      </c>
      <c r="L36" s="164">
        <v>2.8000000000000003</v>
      </c>
      <c r="M36" s="164">
        <v>15.9</v>
      </c>
      <c r="N36" s="164">
        <v>6</v>
      </c>
      <c r="O36" s="164">
        <v>5.3</v>
      </c>
      <c r="P36" s="164">
        <v>3.1999999999999997</v>
      </c>
    </row>
    <row r="37" spans="1:16" x14ac:dyDescent="0.25">
      <c r="A37" s="164">
        <v>36</v>
      </c>
      <c r="B37" s="164">
        <v>0</v>
      </c>
      <c r="C37" s="164">
        <v>0</v>
      </c>
      <c r="D37" s="164">
        <v>1</v>
      </c>
      <c r="E37" s="164">
        <v>10</v>
      </c>
      <c r="F37" s="164">
        <v>180</v>
      </c>
      <c r="G37" s="164">
        <v>756</v>
      </c>
      <c r="H37" s="164">
        <v>0.3</v>
      </c>
      <c r="I37" s="164">
        <v>4</v>
      </c>
      <c r="J37" s="164">
        <v>2.5</v>
      </c>
      <c r="K37" s="164">
        <v>3</v>
      </c>
      <c r="L37" s="164">
        <v>2.8000000000000003</v>
      </c>
      <c r="M37" s="164">
        <v>16</v>
      </c>
      <c r="N37" s="164">
        <v>6</v>
      </c>
      <c r="O37" s="164">
        <v>5.4</v>
      </c>
      <c r="P37" s="164">
        <v>3.1999999999999997</v>
      </c>
    </row>
    <row r="38" spans="1:16" x14ac:dyDescent="0.25">
      <c r="A38" s="164">
        <v>37</v>
      </c>
      <c r="B38" s="164">
        <v>1</v>
      </c>
      <c r="C38" s="164">
        <v>0</v>
      </c>
      <c r="D38" s="164">
        <v>0</v>
      </c>
      <c r="E38" s="164">
        <v>10</v>
      </c>
      <c r="F38" s="164">
        <v>90</v>
      </c>
      <c r="G38" s="164">
        <v>797</v>
      </c>
      <c r="H38" s="164">
        <v>0.3</v>
      </c>
      <c r="I38" s="164">
        <v>4</v>
      </c>
      <c r="J38" s="164">
        <v>2.8</v>
      </c>
      <c r="K38" s="164">
        <v>3</v>
      </c>
      <c r="L38" s="164">
        <v>2.7750000000000004</v>
      </c>
      <c r="M38" s="164">
        <v>15.8</v>
      </c>
      <c r="N38" s="164">
        <v>7</v>
      </c>
      <c r="O38" s="164">
        <v>3.1</v>
      </c>
      <c r="P38" s="164">
        <v>3.1999999999999997</v>
      </c>
    </row>
    <row r="39" spans="1:16" x14ac:dyDescent="0.25">
      <c r="A39" s="164">
        <v>38</v>
      </c>
      <c r="B39" s="164">
        <v>0</v>
      </c>
      <c r="C39" s="164">
        <v>1</v>
      </c>
      <c r="D39" s="164">
        <v>0</v>
      </c>
      <c r="E39" s="164">
        <v>10</v>
      </c>
      <c r="F39" s="164">
        <v>90</v>
      </c>
      <c r="G39" s="164">
        <v>930</v>
      </c>
      <c r="H39" s="164">
        <v>0.3</v>
      </c>
      <c r="I39" s="164">
        <v>3.8</v>
      </c>
      <c r="J39" s="164">
        <v>2.7</v>
      </c>
      <c r="K39" s="164">
        <v>3</v>
      </c>
      <c r="L39" s="164">
        <v>2.7750000000000004</v>
      </c>
      <c r="M39" s="164">
        <v>15.8</v>
      </c>
      <c r="N39" s="164">
        <v>7</v>
      </c>
      <c r="O39" s="164">
        <v>3.05</v>
      </c>
      <c r="P39" s="164">
        <v>3.3</v>
      </c>
    </row>
    <row r="40" spans="1:16" x14ac:dyDescent="0.25">
      <c r="A40" s="164">
        <v>39</v>
      </c>
      <c r="B40" s="164">
        <v>0</v>
      </c>
      <c r="C40" s="164">
        <v>0</v>
      </c>
      <c r="D40" s="164">
        <v>1</v>
      </c>
      <c r="E40" s="164">
        <v>10</v>
      </c>
      <c r="F40" s="164">
        <v>90</v>
      </c>
      <c r="G40" s="164">
        <v>839</v>
      </c>
      <c r="H40" s="164">
        <v>0.3</v>
      </c>
      <c r="I40" s="164">
        <v>4</v>
      </c>
      <c r="J40" s="164">
        <v>2.5</v>
      </c>
      <c r="K40" s="164">
        <v>3</v>
      </c>
      <c r="L40" s="164">
        <v>2.7750000000000004</v>
      </c>
      <c r="M40" s="164">
        <v>15.6</v>
      </c>
      <c r="N40" s="164">
        <v>7</v>
      </c>
      <c r="O40" s="164">
        <v>3.05</v>
      </c>
      <c r="P40" s="164">
        <v>3.0999999999999996</v>
      </c>
    </row>
    <row r="41" spans="1:16" x14ac:dyDescent="0.25">
      <c r="A41" s="164">
        <v>40</v>
      </c>
      <c r="B41" s="164">
        <v>1</v>
      </c>
      <c r="C41" s="164">
        <v>0</v>
      </c>
      <c r="D41" s="164">
        <v>0</v>
      </c>
      <c r="E41" s="164">
        <v>10</v>
      </c>
      <c r="F41" s="164">
        <v>180</v>
      </c>
      <c r="G41" s="164">
        <v>772</v>
      </c>
      <c r="H41" s="164">
        <v>0.3</v>
      </c>
      <c r="I41" s="164">
        <v>4</v>
      </c>
      <c r="J41" s="164">
        <v>2.8</v>
      </c>
      <c r="K41" s="164">
        <v>3</v>
      </c>
      <c r="L41" s="164">
        <v>2.7750000000000004</v>
      </c>
      <c r="M41" s="164">
        <v>16</v>
      </c>
      <c r="N41" s="164">
        <v>7</v>
      </c>
      <c r="O41" s="164">
        <v>5.35</v>
      </c>
      <c r="P41" s="164">
        <v>3.3</v>
      </c>
    </row>
    <row r="42" spans="1:16" x14ac:dyDescent="0.25">
      <c r="A42" s="164">
        <v>41</v>
      </c>
      <c r="B42" s="164">
        <v>0</v>
      </c>
      <c r="C42" s="164">
        <v>1</v>
      </c>
      <c r="D42" s="164">
        <v>0</v>
      </c>
      <c r="E42" s="164">
        <v>10</v>
      </c>
      <c r="F42" s="164">
        <v>180</v>
      </c>
      <c r="G42" s="164">
        <v>737</v>
      </c>
      <c r="H42" s="164">
        <v>0.3</v>
      </c>
      <c r="I42" s="164">
        <v>3.8</v>
      </c>
      <c r="J42" s="164">
        <v>2.7</v>
      </c>
      <c r="K42" s="164">
        <v>3</v>
      </c>
      <c r="L42" s="164">
        <v>2.7750000000000004</v>
      </c>
      <c r="M42" s="164">
        <v>15.9</v>
      </c>
      <c r="N42" s="164">
        <v>7</v>
      </c>
      <c r="O42" s="164">
        <v>5.3</v>
      </c>
      <c r="P42" s="164">
        <v>3.1999999999999997</v>
      </c>
    </row>
    <row r="43" spans="1:16" x14ac:dyDescent="0.25">
      <c r="A43" s="164">
        <v>42</v>
      </c>
      <c r="B43" s="164">
        <v>0</v>
      </c>
      <c r="C43" s="164">
        <v>0</v>
      </c>
      <c r="D43" s="164">
        <v>1</v>
      </c>
      <c r="E43" s="164">
        <v>10</v>
      </c>
      <c r="F43" s="164">
        <v>180</v>
      </c>
      <c r="G43" s="164">
        <v>756</v>
      </c>
      <c r="H43" s="164">
        <v>0.3</v>
      </c>
      <c r="I43" s="164">
        <v>4</v>
      </c>
      <c r="J43" s="164">
        <v>2.5</v>
      </c>
      <c r="K43" s="164">
        <v>3</v>
      </c>
      <c r="L43" s="164">
        <v>2.7750000000000004</v>
      </c>
      <c r="M43" s="164">
        <v>15.7</v>
      </c>
      <c r="N43" s="164">
        <v>7</v>
      </c>
      <c r="O43" s="164">
        <v>5.5</v>
      </c>
      <c r="P43" s="164">
        <v>3.1999999999999997</v>
      </c>
    </row>
    <row r="44" spans="1:16" x14ac:dyDescent="0.25">
      <c r="A44" s="164">
        <v>43</v>
      </c>
      <c r="B44" s="164">
        <v>1</v>
      </c>
      <c r="C44" s="164">
        <v>0</v>
      </c>
      <c r="D44" s="164">
        <v>0</v>
      </c>
      <c r="E44" s="164">
        <v>10</v>
      </c>
      <c r="F44" s="164">
        <v>90</v>
      </c>
      <c r="G44" s="164">
        <v>797</v>
      </c>
      <c r="H44" s="164">
        <v>0.3</v>
      </c>
      <c r="I44" s="164">
        <v>4</v>
      </c>
      <c r="J44" s="164">
        <v>2.8</v>
      </c>
      <c r="K44" s="164">
        <v>3</v>
      </c>
      <c r="L44" s="164">
        <v>2.7500000000000004</v>
      </c>
      <c r="M44" s="164">
        <v>15.7</v>
      </c>
      <c r="N44" s="164">
        <v>8</v>
      </c>
      <c r="O44" s="164">
        <v>3</v>
      </c>
      <c r="P44" s="164">
        <v>3.0999999999999996</v>
      </c>
    </row>
    <row r="45" spans="1:16" x14ac:dyDescent="0.25">
      <c r="A45" s="164">
        <v>44</v>
      </c>
      <c r="B45" s="164">
        <v>0</v>
      </c>
      <c r="C45" s="164">
        <v>1</v>
      </c>
      <c r="D45" s="164">
        <v>0</v>
      </c>
      <c r="E45" s="164">
        <v>10</v>
      </c>
      <c r="F45" s="164">
        <v>90</v>
      </c>
      <c r="G45" s="164">
        <v>930</v>
      </c>
      <c r="H45" s="164">
        <v>0.3</v>
      </c>
      <c r="I45" s="164">
        <v>3.8</v>
      </c>
      <c r="J45" s="164">
        <v>2.7</v>
      </c>
      <c r="K45" s="164">
        <v>3</v>
      </c>
      <c r="L45" s="164">
        <v>2.7500000000000004</v>
      </c>
      <c r="M45" s="164">
        <v>15.5</v>
      </c>
      <c r="N45" s="164">
        <v>8</v>
      </c>
      <c r="O45" s="164">
        <v>3</v>
      </c>
      <c r="P45" s="164">
        <v>3.3</v>
      </c>
    </row>
    <row r="46" spans="1:16" x14ac:dyDescent="0.25">
      <c r="A46" s="164">
        <v>45</v>
      </c>
      <c r="B46" s="164">
        <v>0</v>
      </c>
      <c r="C46" s="164">
        <v>0</v>
      </c>
      <c r="D46" s="164">
        <v>1</v>
      </c>
      <c r="E46" s="164">
        <v>10</v>
      </c>
      <c r="F46" s="164">
        <v>90</v>
      </c>
      <c r="G46" s="164">
        <v>839</v>
      </c>
      <c r="H46" s="164">
        <v>0.3</v>
      </c>
      <c r="I46" s="164">
        <v>4</v>
      </c>
      <c r="J46" s="164">
        <v>2.5</v>
      </c>
      <c r="K46" s="164">
        <v>3</v>
      </c>
      <c r="L46" s="164">
        <v>2.7500000000000004</v>
      </c>
      <c r="M46" s="164">
        <v>15.9</v>
      </c>
      <c r="N46" s="164">
        <v>8</v>
      </c>
      <c r="O46" s="164">
        <v>3</v>
      </c>
      <c r="P46" s="164">
        <v>3</v>
      </c>
    </row>
    <row r="47" spans="1:16" x14ac:dyDescent="0.25">
      <c r="A47" s="164">
        <v>46</v>
      </c>
      <c r="B47" s="164">
        <v>1</v>
      </c>
      <c r="C47" s="164">
        <v>0</v>
      </c>
      <c r="D47" s="164">
        <v>0</v>
      </c>
      <c r="E47" s="164">
        <v>10</v>
      </c>
      <c r="F47" s="164">
        <v>180</v>
      </c>
      <c r="G47" s="164">
        <v>772</v>
      </c>
      <c r="H47" s="164">
        <v>0.3</v>
      </c>
      <c r="I47" s="164">
        <v>4</v>
      </c>
      <c r="J47" s="164">
        <v>2.8</v>
      </c>
      <c r="K47" s="164">
        <v>3</v>
      </c>
      <c r="L47" s="164">
        <v>2.7500000000000004</v>
      </c>
      <c r="M47" s="164">
        <v>16</v>
      </c>
      <c r="N47" s="164">
        <v>8</v>
      </c>
      <c r="O47" s="164">
        <v>5.2</v>
      </c>
      <c r="P47" s="164">
        <v>3.0999999999999996</v>
      </c>
    </row>
    <row r="48" spans="1:16" x14ac:dyDescent="0.25">
      <c r="A48" s="164">
        <v>47</v>
      </c>
      <c r="B48" s="164">
        <v>0</v>
      </c>
      <c r="C48" s="164">
        <v>1</v>
      </c>
      <c r="D48" s="164">
        <v>0</v>
      </c>
      <c r="E48" s="164">
        <v>10</v>
      </c>
      <c r="F48" s="164">
        <v>180</v>
      </c>
      <c r="G48" s="164">
        <v>737</v>
      </c>
      <c r="H48" s="164">
        <v>0.3</v>
      </c>
      <c r="I48" s="164">
        <v>3.8</v>
      </c>
      <c r="J48" s="164">
        <v>2.7</v>
      </c>
      <c r="K48" s="164">
        <v>3</v>
      </c>
      <c r="L48" s="164">
        <v>2.7500000000000004</v>
      </c>
      <c r="M48" s="164">
        <v>15.9</v>
      </c>
      <c r="N48" s="164">
        <v>8</v>
      </c>
      <c r="O48" s="164">
        <v>5.35</v>
      </c>
      <c r="P48" s="164">
        <v>3.0999999999999996</v>
      </c>
    </row>
    <row r="49" spans="1:16" x14ac:dyDescent="0.25">
      <c r="A49" s="164">
        <v>48</v>
      </c>
      <c r="B49" s="164">
        <v>0</v>
      </c>
      <c r="C49" s="164">
        <v>0</v>
      </c>
      <c r="D49" s="164">
        <v>1</v>
      </c>
      <c r="E49" s="164">
        <v>10</v>
      </c>
      <c r="F49" s="164">
        <v>180</v>
      </c>
      <c r="G49" s="164">
        <v>756</v>
      </c>
      <c r="H49" s="164">
        <v>0.3</v>
      </c>
      <c r="I49" s="164">
        <v>4</v>
      </c>
      <c r="J49" s="164">
        <v>2.5</v>
      </c>
      <c r="K49" s="164">
        <v>3</v>
      </c>
      <c r="L49" s="164">
        <v>2.7500000000000004</v>
      </c>
      <c r="M49" s="164">
        <v>15.8</v>
      </c>
      <c r="N49" s="164">
        <v>8</v>
      </c>
      <c r="O49" s="164">
        <v>5.45</v>
      </c>
      <c r="P49" s="164">
        <v>3.0999999999999996</v>
      </c>
    </row>
    <row r="50" spans="1:16" x14ac:dyDescent="0.25">
      <c r="A50" s="164">
        <v>49</v>
      </c>
      <c r="B50" s="164">
        <v>1</v>
      </c>
      <c r="C50" s="164">
        <v>0</v>
      </c>
      <c r="D50" s="164">
        <v>0</v>
      </c>
      <c r="E50" s="164">
        <v>10</v>
      </c>
      <c r="F50" s="164">
        <v>90</v>
      </c>
      <c r="G50" s="164">
        <v>797</v>
      </c>
      <c r="H50" s="164">
        <v>0.3</v>
      </c>
      <c r="I50" s="164">
        <v>4</v>
      </c>
      <c r="J50" s="164">
        <v>2.8</v>
      </c>
      <c r="K50" s="164">
        <v>3</v>
      </c>
      <c r="L50" s="164">
        <v>2.3500000000000005</v>
      </c>
      <c r="M50" s="164">
        <v>16.5</v>
      </c>
      <c r="N50" s="164">
        <v>9</v>
      </c>
      <c r="O50" s="164">
        <v>3.4</v>
      </c>
      <c r="P50" s="164">
        <v>3</v>
      </c>
    </row>
    <row r="51" spans="1:16" x14ac:dyDescent="0.25">
      <c r="A51" s="164">
        <v>50</v>
      </c>
      <c r="B51" s="164">
        <v>0</v>
      </c>
      <c r="C51" s="164">
        <v>1</v>
      </c>
      <c r="D51" s="164">
        <v>0</v>
      </c>
      <c r="E51" s="164">
        <v>10</v>
      </c>
      <c r="F51" s="164">
        <v>90</v>
      </c>
      <c r="G51" s="164">
        <v>930</v>
      </c>
      <c r="H51" s="164">
        <v>0.3</v>
      </c>
      <c r="I51" s="164">
        <v>3.8</v>
      </c>
      <c r="J51" s="164">
        <v>2.7</v>
      </c>
      <c r="K51" s="164">
        <v>3</v>
      </c>
      <c r="L51" s="164">
        <v>2.3500000000000005</v>
      </c>
      <c r="M51" s="164">
        <v>16.399999999999999</v>
      </c>
      <c r="N51" s="164">
        <v>9</v>
      </c>
      <c r="O51" s="164">
        <v>3.25</v>
      </c>
      <c r="P51" s="164">
        <v>3.1999999999999997</v>
      </c>
    </row>
    <row r="52" spans="1:16" x14ac:dyDescent="0.25">
      <c r="A52" s="164">
        <v>51</v>
      </c>
      <c r="B52" s="164">
        <v>0</v>
      </c>
      <c r="C52" s="164">
        <v>0</v>
      </c>
      <c r="D52" s="164">
        <v>1</v>
      </c>
      <c r="E52" s="164">
        <v>10</v>
      </c>
      <c r="F52" s="164">
        <v>90</v>
      </c>
      <c r="G52" s="164">
        <v>839</v>
      </c>
      <c r="H52" s="164">
        <v>0.3</v>
      </c>
      <c r="I52" s="164">
        <v>4</v>
      </c>
      <c r="J52" s="164">
        <v>2.5</v>
      </c>
      <c r="K52" s="164">
        <v>3</v>
      </c>
      <c r="L52" s="164">
        <v>2.3500000000000005</v>
      </c>
      <c r="M52" s="164">
        <v>16.399999999999999</v>
      </c>
      <c r="N52" s="164">
        <v>9</v>
      </c>
      <c r="O52" s="164">
        <v>3.05</v>
      </c>
      <c r="P52" s="164">
        <v>3</v>
      </c>
    </row>
    <row r="53" spans="1:16" x14ac:dyDescent="0.25">
      <c r="A53" s="164">
        <v>52</v>
      </c>
      <c r="B53" s="164">
        <v>1</v>
      </c>
      <c r="C53" s="164">
        <v>0</v>
      </c>
      <c r="D53" s="164">
        <v>0</v>
      </c>
      <c r="E53" s="164">
        <v>10</v>
      </c>
      <c r="F53" s="164">
        <v>180</v>
      </c>
      <c r="G53" s="164">
        <v>772</v>
      </c>
      <c r="H53" s="164">
        <v>0.3</v>
      </c>
      <c r="I53" s="164">
        <v>4</v>
      </c>
      <c r="J53" s="164">
        <v>2.8</v>
      </c>
      <c r="K53" s="164">
        <v>3</v>
      </c>
      <c r="L53" s="164">
        <v>2.3500000000000005</v>
      </c>
      <c r="M53" s="164">
        <v>16.5</v>
      </c>
      <c r="N53" s="164">
        <v>9</v>
      </c>
      <c r="O53" s="164">
        <v>5.2</v>
      </c>
      <c r="P53" s="164">
        <v>3</v>
      </c>
    </row>
    <row r="54" spans="1:16" x14ac:dyDescent="0.25">
      <c r="A54" s="164">
        <v>53</v>
      </c>
      <c r="B54" s="164">
        <v>0</v>
      </c>
      <c r="C54" s="164">
        <v>1</v>
      </c>
      <c r="D54" s="164">
        <v>0</v>
      </c>
      <c r="E54" s="164">
        <v>10</v>
      </c>
      <c r="F54" s="164">
        <v>180</v>
      </c>
      <c r="G54" s="164">
        <v>737</v>
      </c>
      <c r="H54" s="164">
        <v>0.3</v>
      </c>
      <c r="I54" s="164">
        <v>3.8</v>
      </c>
      <c r="J54" s="164">
        <v>2.7</v>
      </c>
      <c r="K54" s="164">
        <v>3</v>
      </c>
      <c r="L54" s="164">
        <v>2.3500000000000005</v>
      </c>
      <c r="M54" s="164">
        <v>16.3</v>
      </c>
      <c r="N54" s="164">
        <v>9</v>
      </c>
      <c r="O54" s="164">
        <v>5.05</v>
      </c>
      <c r="P54" s="164">
        <v>3.0999999999999996</v>
      </c>
    </row>
    <row r="55" spans="1:16" x14ac:dyDescent="0.25">
      <c r="A55" s="164">
        <v>54</v>
      </c>
      <c r="B55" s="164">
        <v>0</v>
      </c>
      <c r="C55" s="164">
        <v>0</v>
      </c>
      <c r="D55" s="164">
        <v>1</v>
      </c>
      <c r="E55" s="164">
        <v>10</v>
      </c>
      <c r="F55" s="164">
        <v>180</v>
      </c>
      <c r="G55" s="164">
        <v>756</v>
      </c>
      <c r="H55" s="164">
        <v>0.3</v>
      </c>
      <c r="I55" s="164">
        <v>4</v>
      </c>
      <c r="J55" s="164">
        <v>2.5</v>
      </c>
      <c r="K55" s="164">
        <v>3</v>
      </c>
      <c r="L55" s="164">
        <v>2.3500000000000005</v>
      </c>
      <c r="M55" s="164">
        <v>16.2</v>
      </c>
      <c r="N55" s="164">
        <v>9</v>
      </c>
      <c r="O55" s="164">
        <v>5</v>
      </c>
      <c r="P55" s="164">
        <v>3</v>
      </c>
    </row>
    <row r="56" spans="1:16" x14ac:dyDescent="0.25">
      <c r="A56" s="164">
        <v>55</v>
      </c>
      <c r="B56" s="164">
        <v>1</v>
      </c>
      <c r="C56" s="164">
        <v>0</v>
      </c>
      <c r="D56" s="164">
        <v>0</v>
      </c>
      <c r="E56" s="164">
        <v>10</v>
      </c>
      <c r="F56" s="164">
        <v>90</v>
      </c>
      <c r="G56" s="164">
        <v>797</v>
      </c>
      <c r="H56" s="164">
        <v>0.3</v>
      </c>
      <c r="I56" s="164">
        <v>4</v>
      </c>
      <c r="J56" s="164">
        <v>2.8</v>
      </c>
      <c r="K56" s="164">
        <v>3</v>
      </c>
      <c r="L56" s="164">
        <v>2.3250000000000006</v>
      </c>
      <c r="M56" s="164">
        <v>15.4</v>
      </c>
      <c r="N56" s="164">
        <v>10</v>
      </c>
      <c r="O56" s="164">
        <v>3.35</v>
      </c>
      <c r="P56" s="164">
        <v>3</v>
      </c>
    </row>
    <row r="57" spans="1:16" x14ac:dyDescent="0.25">
      <c r="A57" s="164">
        <v>56</v>
      </c>
      <c r="B57" s="164">
        <v>0</v>
      </c>
      <c r="C57" s="164">
        <v>1</v>
      </c>
      <c r="D57" s="164">
        <v>0</v>
      </c>
      <c r="E57" s="164">
        <v>10</v>
      </c>
      <c r="F57" s="164">
        <v>90</v>
      </c>
      <c r="G57" s="164">
        <v>930</v>
      </c>
      <c r="H57" s="164">
        <v>0.3</v>
      </c>
      <c r="I57" s="164">
        <v>3.8</v>
      </c>
      <c r="J57" s="164">
        <v>2.7</v>
      </c>
      <c r="K57" s="164">
        <v>3</v>
      </c>
      <c r="L57" s="164">
        <v>2.3250000000000006</v>
      </c>
      <c r="M57" s="164">
        <v>15.5</v>
      </c>
      <c r="N57" s="164">
        <v>10</v>
      </c>
      <c r="O57" s="164">
        <v>3.15</v>
      </c>
      <c r="P57" s="164">
        <v>3.1999999999999997</v>
      </c>
    </row>
    <row r="58" spans="1:16" x14ac:dyDescent="0.25">
      <c r="A58" s="164">
        <v>57</v>
      </c>
      <c r="B58" s="164">
        <v>0</v>
      </c>
      <c r="C58" s="164">
        <v>0</v>
      </c>
      <c r="D58" s="164">
        <v>1</v>
      </c>
      <c r="E58" s="164">
        <v>10</v>
      </c>
      <c r="F58" s="164">
        <v>90</v>
      </c>
      <c r="G58" s="164">
        <v>839</v>
      </c>
      <c r="H58" s="164">
        <v>0.3</v>
      </c>
      <c r="I58" s="164">
        <v>4</v>
      </c>
      <c r="J58" s="164">
        <v>2.5</v>
      </c>
      <c r="K58" s="164">
        <v>3</v>
      </c>
      <c r="L58" s="164">
        <v>2.3250000000000006</v>
      </c>
      <c r="M58" s="164">
        <v>15.5</v>
      </c>
      <c r="N58" s="164">
        <v>10</v>
      </c>
      <c r="O58" s="164">
        <v>3</v>
      </c>
      <c r="P58" s="164">
        <v>3</v>
      </c>
    </row>
    <row r="59" spans="1:16" x14ac:dyDescent="0.25">
      <c r="A59" s="164">
        <v>58</v>
      </c>
      <c r="B59" s="164">
        <v>1</v>
      </c>
      <c r="C59" s="164">
        <v>0</v>
      </c>
      <c r="D59" s="164">
        <v>0</v>
      </c>
      <c r="E59" s="164">
        <v>10</v>
      </c>
      <c r="F59" s="164">
        <v>180</v>
      </c>
      <c r="G59" s="164">
        <v>772</v>
      </c>
      <c r="H59" s="164">
        <v>0.3</v>
      </c>
      <c r="I59" s="164">
        <v>4</v>
      </c>
      <c r="J59" s="164">
        <v>2.8</v>
      </c>
      <c r="K59" s="164">
        <v>3</v>
      </c>
      <c r="L59" s="164">
        <v>2.3250000000000006</v>
      </c>
      <c r="M59" s="164">
        <v>15.7</v>
      </c>
      <c r="N59" s="164">
        <v>10</v>
      </c>
      <c r="O59" s="164">
        <v>5.15</v>
      </c>
      <c r="P59" s="164">
        <v>3</v>
      </c>
    </row>
    <row r="60" spans="1:16" x14ac:dyDescent="0.25">
      <c r="A60" s="164">
        <v>59</v>
      </c>
      <c r="B60" s="164">
        <v>0</v>
      </c>
      <c r="C60" s="164">
        <v>1</v>
      </c>
      <c r="D60" s="164">
        <v>0</v>
      </c>
      <c r="E60" s="164">
        <v>10</v>
      </c>
      <c r="F60" s="164">
        <v>180</v>
      </c>
      <c r="G60" s="164">
        <v>737</v>
      </c>
      <c r="H60" s="164">
        <v>0.3</v>
      </c>
      <c r="I60" s="164">
        <v>3.8</v>
      </c>
      <c r="J60" s="164">
        <v>2.7</v>
      </c>
      <c r="K60" s="164">
        <v>3</v>
      </c>
      <c r="L60" s="164">
        <v>2.3250000000000006</v>
      </c>
      <c r="M60" s="164">
        <v>15.4</v>
      </c>
      <c r="N60" s="164">
        <v>10</v>
      </c>
      <c r="O60" s="164">
        <v>5.05</v>
      </c>
      <c r="P60" s="164">
        <v>3</v>
      </c>
    </row>
    <row r="61" spans="1:16" x14ac:dyDescent="0.25">
      <c r="A61" s="164">
        <v>60</v>
      </c>
      <c r="B61" s="164">
        <v>0</v>
      </c>
      <c r="C61" s="164">
        <v>0</v>
      </c>
      <c r="D61" s="164">
        <v>1</v>
      </c>
      <c r="E61" s="164">
        <v>10</v>
      </c>
      <c r="F61" s="164">
        <v>180</v>
      </c>
      <c r="G61" s="164">
        <v>756</v>
      </c>
      <c r="H61" s="164">
        <v>0.3</v>
      </c>
      <c r="I61" s="164">
        <v>4</v>
      </c>
      <c r="J61" s="164">
        <v>2.5</v>
      </c>
      <c r="K61" s="164">
        <v>3</v>
      </c>
      <c r="L61" s="164">
        <v>2.3250000000000006</v>
      </c>
      <c r="M61" s="164">
        <v>15.8</v>
      </c>
      <c r="N61" s="164">
        <v>10</v>
      </c>
      <c r="O61" s="164">
        <v>5</v>
      </c>
      <c r="P61" s="164">
        <v>3.0999999999999996</v>
      </c>
    </row>
    <row r="62" spans="1:16" x14ac:dyDescent="0.25">
      <c r="A62" s="164">
        <v>61</v>
      </c>
      <c r="B62" s="164">
        <v>1</v>
      </c>
      <c r="C62" s="164">
        <v>0</v>
      </c>
      <c r="D62" s="164">
        <v>0</v>
      </c>
      <c r="E62" s="164">
        <v>10</v>
      </c>
      <c r="F62" s="164">
        <v>90</v>
      </c>
      <c r="G62" s="164">
        <v>797</v>
      </c>
      <c r="H62" s="164">
        <v>0.3</v>
      </c>
      <c r="I62" s="164">
        <v>4</v>
      </c>
      <c r="J62" s="164">
        <v>2.8</v>
      </c>
      <c r="K62" s="164">
        <v>3</v>
      </c>
      <c r="L62" s="164">
        <v>2.3000000000000007</v>
      </c>
      <c r="M62" s="164">
        <v>15.9</v>
      </c>
      <c r="N62" s="164">
        <v>11</v>
      </c>
      <c r="O62" s="164">
        <v>3.35</v>
      </c>
      <c r="P62" s="164">
        <v>3</v>
      </c>
    </row>
    <row r="63" spans="1:16" x14ac:dyDescent="0.25">
      <c r="A63" s="164">
        <v>62</v>
      </c>
      <c r="B63" s="164">
        <v>0</v>
      </c>
      <c r="C63" s="164">
        <v>1</v>
      </c>
      <c r="D63" s="164">
        <v>0</v>
      </c>
      <c r="E63" s="164">
        <v>10</v>
      </c>
      <c r="F63" s="164">
        <v>90</v>
      </c>
      <c r="G63" s="164">
        <v>930</v>
      </c>
      <c r="H63" s="164">
        <v>0.3</v>
      </c>
      <c r="I63" s="164">
        <v>3.8</v>
      </c>
      <c r="J63" s="164">
        <v>2.7</v>
      </c>
      <c r="K63" s="164">
        <v>3</v>
      </c>
      <c r="L63" s="164">
        <v>2.3000000000000007</v>
      </c>
      <c r="M63" s="164">
        <v>16</v>
      </c>
      <c r="N63" s="164">
        <v>11</v>
      </c>
      <c r="O63" s="164">
        <v>3.1</v>
      </c>
      <c r="P63" s="164">
        <v>3.1999999999999997</v>
      </c>
    </row>
    <row r="64" spans="1:16" x14ac:dyDescent="0.25">
      <c r="A64" s="164">
        <v>63</v>
      </c>
      <c r="B64" s="164">
        <v>0</v>
      </c>
      <c r="C64" s="164">
        <v>0</v>
      </c>
      <c r="D64" s="164">
        <v>1</v>
      </c>
      <c r="E64" s="164">
        <v>10</v>
      </c>
      <c r="F64" s="164">
        <v>90</v>
      </c>
      <c r="G64" s="164">
        <v>839</v>
      </c>
      <c r="H64" s="164">
        <v>0.3</v>
      </c>
      <c r="I64" s="164">
        <v>4</v>
      </c>
      <c r="J64" s="164">
        <v>2.5</v>
      </c>
      <c r="K64" s="164">
        <v>3</v>
      </c>
      <c r="L64" s="164">
        <v>2.3000000000000007</v>
      </c>
      <c r="M64" s="164">
        <v>15.8</v>
      </c>
      <c r="N64" s="164">
        <v>11</v>
      </c>
      <c r="O64" s="164">
        <v>3</v>
      </c>
      <c r="P64" s="164">
        <v>3</v>
      </c>
    </row>
    <row r="65" spans="1:16" x14ac:dyDescent="0.25">
      <c r="A65" s="164">
        <v>64</v>
      </c>
      <c r="B65" s="164">
        <v>1</v>
      </c>
      <c r="C65" s="164">
        <v>0</v>
      </c>
      <c r="D65" s="164">
        <v>0</v>
      </c>
      <c r="E65" s="164">
        <v>10</v>
      </c>
      <c r="F65" s="164">
        <v>180</v>
      </c>
      <c r="G65" s="164">
        <v>772</v>
      </c>
      <c r="H65" s="164">
        <v>0.3</v>
      </c>
      <c r="I65" s="164">
        <v>4</v>
      </c>
      <c r="J65" s="164">
        <v>2.8</v>
      </c>
      <c r="K65" s="164">
        <v>3</v>
      </c>
      <c r="L65" s="164">
        <v>2.3000000000000007</v>
      </c>
      <c r="M65" s="164">
        <v>16.100000000000001</v>
      </c>
      <c r="N65" s="164">
        <v>11</v>
      </c>
      <c r="O65" s="164">
        <v>5.0999999999999996</v>
      </c>
      <c r="P65" s="164">
        <v>3</v>
      </c>
    </row>
    <row r="66" spans="1:16" x14ac:dyDescent="0.25">
      <c r="A66" s="164">
        <v>65</v>
      </c>
      <c r="B66" s="164">
        <v>0</v>
      </c>
      <c r="C66" s="164">
        <v>1</v>
      </c>
      <c r="D66" s="164">
        <v>0</v>
      </c>
      <c r="E66" s="164">
        <v>10</v>
      </c>
      <c r="F66" s="164">
        <v>180</v>
      </c>
      <c r="G66" s="164">
        <v>737</v>
      </c>
      <c r="H66" s="164">
        <v>0.3</v>
      </c>
      <c r="I66" s="164">
        <v>3.8</v>
      </c>
      <c r="J66" s="164">
        <v>2.7</v>
      </c>
      <c r="K66" s="164">
        <v>3</v>
      </c>
      <c r="L66" s="164">
        <v>2.3000000000000007</v>
      </c>
      <c r="M66" s="164">
        <v>16</v>
      </c>
      <c r="N66" s="164">
        <v>11</v>
      </c>
      <c r="O66" s="164">
        <v>5</v>
      </c>
      <c r="P66" s="164">
        <v>3</v>
      </c>
    </row>
    <row r="67" spans="1:16" x14ac:dyDescent="0.25">
      <c r="A67" s="164">
        <v>66</v>
      </c>
      <c r="B67" s="164">
        <v>0</v>
      </c>
      <c r="C67" s="164">
        <v>0</v>
      </c>
      <c r="D67" s="164">
        <v>1</v>
      </c>
      <c r="E67" s="164">
        <v>10</v>
      </c>
      <c r="F67" s="164">
        <v>180</v>
      </c>
      <c r="G67" s="164">
        <v>756</v>
      </c>
      <c r="H67" s="164">
        <v>0.3</v>
      </c>
      <c r="I67" s="164">
        <v>4</v>
      </c>
      <c r="J67" s="164">
        <v>2.5</v>
      </c>
      <c r="K67" s="164">
        <v>3</v>
      </c>
      <c r="L67" s="164">
        <v>2.3000000000000007</v>
      </c>
      <c r="M67" s="164">
        <v>15.8</v>
      </c>
      <c r="N67" s="164">
        <v>11</v>
      </c>
      <c r="O67" s="164">
        <v>5</v>
      </c>
      <c r="P67" s="164">
        <v>2.9</v>
      </c>
    </row>
    <row r="68" spans="1:16" x14ac:dyDescent="0.25">
      <c r="A68" s="164">
        <v>67</v>
      </c>
      <c r="B68" s="164">
        <v>1</v>
      </c>
      <c r="C68" s="164">
        <v>0</v>
      </c>
      <c r="D68" s="164">
        <v>0</v>
      </c>
      <c r="E68" s="164">
        <v>10</v>
      </c>
      <c r="F68" s="164">
        <v>90</v>
      </c>
      <c r="G68" s="164">
        <v>797</v>
      </c>
      <c r="H68" s="164">
        <v>0.3</v>
      </c>
      <c r="I68" s="164">
        <v>4</v>
      </c>
      <c r="J68" s="164">
        <v>2.8</v>
      </c>
      <c r="K68" s="164">
        <v>3</v>
      </c>
      <c r="L68" s="164">
        <v>2.2750000000000008</v>
      </c>
      <c r="M68" s="164">
        <v>15.4</v>
      </c>
      <c r="N68" s="164">
        <v>12</v>
      </c>
      <c r="O68" s="164">
        <v>3.2</v>
      </c>
      <c r="P68" s="164">
        <v>2.9</v>
      </c>
    </row>
    <row r="69" spans="1:16" x14ac:dyDescent="0.25">
      <c r="A69" s="164">
        <v>68</v>
      </c>
      <c r="B69" s="164">
        <v>0</v>
      </c>
      <c r="C69" s="164">
        <v>1</v>
      </c>
      <c r="D69" s="164">
        <v>0</v>
      </c>
      <c r="E69" s="164">
        <v>10</v>
      </c>
      <c r="F69" s="164">
        <v>90</v>
      </c>
      <c r="G69" s="164">
        <v>930</v>
      </c>
      <c r="H69" s="164">
        <v>0.3</v>
      </c>
      <c r="I69" s="164">
        <v>3.8</v>
      </c>
      <c r="J69" s="164">
        <v>2.7</v>
      </c>
      <c r="K69" s="164">
        <v>3</v>
      </c>
      <c r="L69" s="164">
        <v>2.2750000000000008</v>
      </c>
      <c r="M69" s="164">
        <v>15.5</v>
      </c>
      <c r="N69" s="164">
        <v>12</v>
      </c>
      <c r="O69" s="164">
        <v>3.1</v>
      </c>
      <c r="P69" s="164">
        <v>3.0999999999999996</v>
      </c>
    </row>
    <row r="70" spans="1:16" x14ac:dyDescent="0.25">
      <c r="A70" s="164">
        <v>69</v>
      </c>
      <c r="B70" s="164">
        <v>0</v>
      </c>
      <c r="C70" s="164">
        <v>0</v>
      </c>
      <c r="D70" s="164">
        <v>1</v>
      </c>
      <c r="E70" s="164">
        <v>10</v>
      </c>
      <c r="F70" s="164">
        <v>90</v>
      </c>
      <c r="G70" s="164">
        <v>839</v>
      </c>
      <c r="H70" s="164">
        <v>0.3</v>
      </c>
      <c r="I70" s="164">
        <v>4</v>
      </c>
      <c r="J70" s="164">
        <v>2.5</v>
      </c>
      <c r="K70" s="164">
        <v>3</v>
      </c>
      <c r="L70" s="164">
        <v>2.2750000000000008</v>
      </c>
      <c r="M70" s="164">
        <v>15.8</v>
      </c>
      <c r="N70" s="164">
        <v>12</v>
      </c>
      <c r="O70" s="164">
        <v>2.95</v>
      </c>
      <c r="P70" s="164">
        <v>3</v>
      </c>
    </row>
    <row r="71" spans="1:16" x14ac:dyDescent="0.25">
      <c r="A71" s="164">
        <v>70</v>
      </c>
      <c r="B71" s="164">
        <v>1</v>
      </c>
      <c r="C71" s="164">
        <v>0</v>
      </c>
      <c r="D71" s="164">
        <v>0</v>
      </c>
      <c r="E71" s="164">
        <v>10</v>
      </c>
      <c r="F71" s="164">
        <v>180</v>
      </c>
      <c r="G71" s="164">
        <v>772</v>
      </c>
      <c r="H71" s="164">
        <v>0.3</v>
      </c>
      <c r="I71" s="164">
        <v>4</v>
      </c>
      <c r="J71" s="164">
        <v>2.8</v>
      </c>
      <c r="K71" s="164">
        <v>3</v>
      </c>
      <c r="L71" s="164">
        <v>2.2750000000000008</v>
      </c>
      <c r="M71" s="164">
        <v>15.5</v>
      </c>
      <c r="N71" s="164">
        <v>12</v>
      </c>
      <c r="O71" s="164">
        <v>5.05</v>
      </c>
      <c r="P71" s="164">
        <v>2.9</v>
      </c>
    </row>
    <row r="72" spans="1:16" x14ac:dyDescent="0.25">
      <c r="A72" s="164">
        <v>71</v>
      </c>
      <c r="B72" s="164">
        <v>0</v>
      </c>
      <c r="C72" s="164">
        <v>1</v>
      </c>
      <c r="D72" s="164">
        <v>0</v>
      </c>
      <c r="E72" s="164">
        <v>10</v>
      </c>
      <c r="F72" s="164">
        <v>180</v>
      </c>
      <c r="G72" s="164">
        <v>737</v>
      </c>
      <c r="H72" s="164">
        <v>0.3</v>
      </c>
      <c r="I72" s="164">
        <v>3.8</v>
      </c>
      <c r="J72" s="164">
        <v>2.7</v>
      </c>
      <c r="K72" s="164">
        <v>3</v>
      </c>
      <c r="L72" s="164">
        <v>2.2750000000000008</v>
      </c>
      <c r="M72" s="164">
        <v>15.6</v>
      </c>
      <c r="N72" s="164">
        <v>12</v>
      </c>
      <c r="O72" s="164">
        <v>4.95</v>
      </c>
      <c r="P72" s="164">
        <v>3</v>
      </c>
    </row>
    <row r="73" spans="1:16" x14ac:dyDescent="0.25">
      <c r="A73" s="164">
        <v>72</v>
      </c>
      <c r="B73" s="164">
        <v>0</v>
      </c>
      <c r="C73" s="164">
        <v>0</v>
      </c>
      <c r="D73" s="164">
        <v>1</v>
      </c>
      <c r="E73" s="164">
        <v>10</v>
      </c>
      <c r="F73" s="164">
        <v>180</v>
      </c>
      <c r="G73" s="164">
        <v>756</v>
      </c>
      <c r="H73" s="164">
        <v>0.3</v>
      </c>
      <c r="I73" s="164">
        <v>4</v>
      </c>
      <c r="J73" s="164">
        <v>2.5</v>
      </c>
      <c r="K73" s="164">
        <v>3</v>
      </c>
      <c r="L73" s="164">
        <v>2.2750000000000008</v>
      </c>
      <c r="M73" s="164">
        <v>15.6</v>
      </c>
      <c r="N73" s="164">
        <v>12</v>
      </c>
      <c r="O73" s="164">
        <v>5</v>
      </c>
      <c r="P73" s="164">
        <v>2.9</v>
      </c>
    </row>
    <row r="74" spans="1:16" x14ac:dyDescent="0.25">
      <c r="A74" s="164">
        <v>73</v>
      </c>
      <c r="B74" s="164">
        <v>1</v>
      </c>
      <c r="C74" s="164">
        <v>0</v>
      </c>
      <c r="D74" s="164">
        <v>0</v>
      </c>
      <c r="E74" s="164">
        <v>10</v>
      </c>
      <c r="F74" s="164">
        <v>90</v>
      </c>
      <c r="G74" s="164">
        <v>797</v>
      </c>
      <c r="H74" s="164">
        <v>0.3</v>
      </c>
      <c r="I74" s="164">
        <v>4</v>
      </c>
      <c r="J74" s="164">
        <v>2.8</v>
      </c>
      <c r="K74" s="164">
        <v>3</v>
      </c>
      <c r="L74" s="164">
        <v>1.9750000000000008</v>
      </c>
      <c r="M74" s="164">
        <v>15.4</v>
      </c>
      <c r="N74" s="164">
        <v>13</v>
      </c>
      <c r="O74" s="164">
        <v>3.4</v>
      </c>
      <c r="P74" s="164">
        <v>3</v>
      </c>
    </row>
    <row r="75" spans="1:16" x14ac:dyDescent="0.25">
      <c r="A75" s="164">
        <v>74</v>
      </c>
      <c r="B75" s="164">
        <v>0</v>
      </c>
      <c r="C75" s="164">
        <v>1</v>
      </c>
      <c r="D75" s="164">
        <v>0</v>
      </c>
      <c r="E75" s="164">
        <v>10</v>
      </c>
      <c r="F75" s="164">
        <v>90</v>
      </c>
      <c r="G75" s="164">
        <v>930</v>
      </c>
      <c r="H75" s="164">
        <v>0.3</v>
      </c>
      <c r="I75" s="164">
        <v>3.8</v>
      </c>
      <c r="J75" s="164">
        <v>2.7</v>
      </c>
      <c r="K75" s="164">
        <v>3</v>
      </c>
      <c r="L75" s="164">
        <v>1.9750000000000008</v>
      </c>
      <c r="M75" s="164">
        <v>15.5</v>
      </c>
      <c r="N75" s="164">
        <v>13</v>
      </c>
      <c r="O75" s="164">
        <v>3.2</v>
      </c>
      <c r="P75" s="164">
        <v>3.0999999999999996</v>
      </c>
    </row>
    <row r="76" spans="1:16" x14ac:dyDescent="0.25">
      <c r="A76" s="164">
        <v>75</v>
      </c>
      <c r="B76" s="164">
        <v>0</v>
      </c>
      <c r="C76" s="164">
        <v>0</v>
      </c>
      <c r="D76" s="164">
        <v>1</v>
      </c>
      <c r="E76" s="164">
        <v>10</v>
      </c>
      <c r="F76" s="164">
        <v>90</v>
      </c>
      <c r="G76" s="164">
        <v>839</v>
      </c>
      <c r="H76" s="164">
        <v>0.3</v>
      </c>
      <c r="I76" s="164">
        <v>4</v>
      </c>
      <c r="J76" s="164">
        <v>2.5</v>
      </c>
      <c r="K76" s="164">
        <v>3</v>
      </c>
      <c r="L76" s="164">
        <v>1.9750000000000008</v>
      </c>
      <c r="M76" s="164">
        <v>15.5</v>
      </c>
      <c r="N76" s="164">
        <v>13</v>
      </c>
      <c r="O76" s="164">
        <v>3.05</v>
      </c>
      <c r="P76" s="164">
        <v>3</v>
      </c>
    </row>
    <row r="77" spans="1:16" x14ac:dyDescent="0.25">
      <c r="A77" s="164">
        <v>76</v>
      </c>
      <c r="B77" s="164">
        <v>1</v>
      </c>
      <c r="C77" s="164">
        <v>0</v>
      </c>
      <c r="D77" s="164">
        <v>0</v>
      </c>
      <c r="E77" s="164">
        <v>10</v>
      </c>
      <c r="F77" s="164">
        <v>180</v>
      </c>
      <c r="G77" s="164">
        <v>772</v>
      </c>
      <c r="H77" s="164">
        <v>0.3</v>
      </c>
      <c r="I77" s="164">
        <v>4</v>
      </c>
      <c r="J77" s="164">
        <v>2.8</v>
      </c>
      <c r="K77" s="164">
        <v>3</v>
      </c>
      <c r="L77" s="164">
        <v>1.9750000000000008</v>
      </c>
      <c r="M77" s="164">
        <v>15.7</v>
      </c>
      <c r="N77" s="164">
        <v>13</v>
      </c>
      <c r="O77" s="164">
        <v>5.15</v>
      </c>
      <c r="P77" s="164">
        <v>2.9</v>
      </c>
    </row>
    <row r="78" spans="1:16" x14ac:dyDescent="0.25">
      <c r="A78" s="164">
        <v>77</v>
      </c>
      <c r="B78" s="164">
        <v>0</v>
      </c>
      <c r="C78" s="164">
        <v>1</v>
      </c>
      <c r="D78" s="164">
        <v>0</v>
      </c>
      <c r="E78" s="164">
        <v>10</v>
      </c>
      <c r="F78" s="164">
        <v>180</v>
      </c>
      <c r="G78" s="164">
        <v>737</v>
      </c>
      <c r="H78" s="164">
        <v>0.3</v>
      </c>
      <c r="I78" s="164">
        <v>3.8</v>
      </c>
      <c r="J78" s="164">
        <v>2.7</v>
      </c>
      <c r="K78" s="164">
        <v>3</v>
      </c>
      <c r="L78" s="164">
        <v>1.9750000000000008</v>
      </c>
      <c r="M78" s="164">
        <v>15.4</v>
      </c>
      <c r="N78" s="164">
        <v>13</v>
      </c>
      <c r="O78" s="164">
        <v>4.9000000000000004</v>
      </c>
      <c r="P78" s="164">
        <v>2.9</v>
      </c>
    </row>
    <row r="79" spans="1:16" x14ac:dyDescent="0.25">
      <c r="A79" s="164">
        <v>78</v>
      </c>
      <c r="B79" s="164">
        <v>0</v>
      </c>
      <c r="C79" s="164">
        <v>0</v>
      </c>
      <c r="D79" s="164">
        <v>1</v>
      </c>
      <c r="E79" s="164">
        <v>10</v>
      </c>
      <c r="F79" s="164">
        <v>180</v>
      </c>
      <c r="G79" s="164">
        <v>756</v>
      </c>
      <c r="H79" s="164">
        <v>0.3</v>
      </c>
      <c r="I79" s="164">
        <v>4</v>
      </c>
      <c r="J79" s="164">
        <v>2.5</v>
      </c>
      <c r="K79" s="164">
        <v>3</v>
      </c>
      <c r="L79" s="164">
        <v>1.9750000000000008</v>
      </c>
      <c r="M79" s="164">
        <v>15.8</v>
      </c>
      <c r="N79" s="164">
        <v>13</v>
      </c>
      <c r="O79" s="164">
        <v>5.2</v>
      </c>
      <c r="P79" s="164">
        <v>2.9</v>
      </c>
    </row>
    <row r="80" spans="1:16" x14ac:dyDescent="0.25">
      <c r="A80" s="164">
        <v>79</v>
      </c>
      <c r="B80" s="164">
        <v>1</v>
      </c>
      <c r="C80" s="164">
        <v>0</v>
      </c>
      <c r="D80" s="164">
        <v>0</v>
      </c>
      <c r="E80" s="164">
        <v>10</v>
      </c>
      <c r="F80" s="164">
        <v>90</v>
      </c>
      <c r="G80" s="164">
        <v>797</v>
      </c>
      <c r="H80" s="164">
        <v>0.3</v>
      </c>
      <c r="I80" s="164">
        <v>4</v>
      </c>
      <c r="J80" s="164">
        <v>2.8</v>
      </c>
      <c r="K80" s="164">
        <v>3</v>
      </c>
      <c r="L80" s="164">
        <v>1.9500000000000008</v>
      </c>
      <c r="M80" s="164">
        <v>15.4</v>
      </c>
      <c r="N80" s="164">
        <v>14</v>
      </c>
      <c r="O80" s="164">
        <v>3.4</v>
      </c>
      <c r="P80" s="164">
        <v>3</v>
      </c>
    </row>
    <row r="81" spans="1:16" x14ac:dyDescent="0.25">
      <c r="A81" s="164">
        <v>80</v>
      </c>
      <c r="B81" s="164">
        <v>0</v>
      </c>
      <c r="C81" s="164">
        <v>1</v>
      </c>
      <c r="D81" s="164">
        <v>0</v>
      </c>
      <c r="E81" s="164">
        <v>10</v>
      </c>
      <c r="F81" s="164">
        <v>90</v>
      </c>
      <c r="G81" s="164">
        <v>930</v>
      </c>
      <c r="H81" s="164">
        <v>0.3</v>
      </c>
      <c r="I81" s="164">
        <v>3.8</v>
      </c>
      <c r="J81" s="164">
        <v>2.7</v>
      </c>
      <c r="K81" s="164">
        <v>3</v>
      </c>
      <c r="L81" s="164">
        <v>1.9500000000000008</v>
      </c>
      <c r="M81" s="164">
        <v>15.5</v>
      </c>
      <c r="N81" s="164">
        <v>14</v>
      </c>
      <c r="O81" s="164">
        <v>3.2</v>
      </c>
      <c r="P81" s="164">
        <v>3.0999999999999996</v>
      </c>
    </row>
    <row r="82" spans="1:16" x14ac:dyDescent="0.25">
      <c r="A82" s="164">
        <v>81</v>
      </c>
      <c r="B82" s="164">
        <v>0</v>
      </c>
      <c r="C82" s="164">
        <v>0</v>
      </c>
      <c r="D82" s="164">
        <v>1</v>
      </c>
      <c r="E82" s="164">
        <v>10</v>
      </c>
      <c r="F82" s="164">
        <v>90</v>
      </c>
      <c r="G82" s="164">
        <v>839</v>
      </c>
      <c r="H82" s="164">
        <v>0.3</v>
      </c>
      <c r="I82" s="164">
        <v>4</v>
      </c>
      <c r="J82" s="164">
        <v>2.5</v>
      </c>
      <c r="K82" s="164">
        <v>3</v>
      </c>
      <c r="L82" s="164">
        <v>1.9500000000000008</v>
      </c>
      <c r="M82" s="164">
        <v>15.5</v>
      </c>
      <c r="N82" s="164">
        <v>14</v>
      </c>
      <c r="O82" s="164">
        <v>3</v>
      </c>
      <c r="P82" s="164">
        <v>3</v>
      </c>
    </row>
    <row r="83" spans="1:16" x14ac:dyDescent="0.25">
      <c r="A83" s="164">
        <v>82</v>
      </c>
      <c r="B83" s="164">
        <v>1</v>
      </c>
      <c r="C83" s="164">
        <v>0</v>
      </c>
      <c r="D83" s="164">
        <v>0</v>
      </c>
      <c r="E83" s="164">
        <v>10</v>
      </c>
      <c r="F83" s="164">
        <v>180</v>
      </c>
      <c r="G83" s="164">
        <v>772</v>
      </c>
      <c r="H83" s="164">
        <v>0.3</v>
      </c>
      <c r="I83" s="164">
        <v>4</v>
      </c>
      <c r="J83" s="164">
        <v>2.8</v>
      </c>
      <c r="K83" s="164">
        <v>3</v>
      </c>
      <c r="L83" s="164">
        <v>1.9500000000000008</v>
      </c>
      <c r="M83" s="164">
        <v>15.7</v>
      </c>
      <c r="N83" s="164">
        <v>14</v>
      </c>
      <c r="O83" s="164">
        <v>5.2</v>
      </c>
      <c r="P83" s="164">
        <v>2.9</v>
      </c>
    </row>
    <row r="84" spans="1:16" x14ac:dyDescent="0.25">
      <c r="A84" s="164">
        <v>83</v>
      </c>
      <c r="B84" s="164">
        <v>0</v>
      </c>
      <c r="C84" s="164">
        <v>1</v>
      </c>
      <c r="D84" s="164">
        <v>0</v>
      </c>
      <c r="E84" s="164">
        <v>10</v>
      </c>
      <c r="F84" s="164">
        <v>180</v>
      </c>
      <c r="G84" s="164">
        <v>737</v>
      </c>
      <c r="H84" s="164">
        <v>0.3</v>
      </c>
      <c r="I84" s="164">
        <v>3.8</v>
      </c>
      <c r="J84" s="164">
        <v>2.7</v>
      </c>
      <c r="K84" s="164">
        <v>3</v>
      </c>
      <c r="L84" s="164">
        <v>1.9500000000000008</v>
      </c>
      <c r="M84" s="164">
        <v>15.4</v>
      </c>
      <c r="N84" s="164">
        <v>14</v>
      </c>
      <c r="O84" s="164">
        <v>5</v>
      </c>
      <c r="P84" s="164">
        <v>3</v>
      </c>
    </row>
    <row r="85" spans="1:16" x14ac:dyDescent="0.25">
      <c r="A85" s="164">
        <v>84</v>
      </c>
      <c r="B85" s="164">
        <v>0</v>
      </c>
      <c r="C85" s="164">
        <v>0</v>
      </c>
      <c r="D85" s="164">
        <v>1</v>
      </c>
      <c r="E85" s="164">
        <v>10</v>
      </c>
      <c r="F85" s="164">
        <v>180</v>
      </c>
      <c r="G85" s="164">
        <v>756</v>
      </c>
      <c r="H85" s="164">
        <v>0.3</v>
      </c>
      <c r="I85" s="164">
        <v>4</v>
      </c>
      <c r="J85" s="164">
        <v>2.5</v>
      </c>
      <c r="K85" s="164">
        <v>3</v>
      </c>
      <c r="L85" s="164">
        <v>1.9500000000000008</v>
      </c>
      <c r="M85" s="164">
        <v>15.8</v>
      </c>
      <c r="N85" s="164">
        <v>14</v>
      </c>
      <c r="O85" s="164">
        <v>5.05</v>
      </c>
      <c r="P85" s="164">
        <v>2.9</v>
      </c>
    </row>
    <row r="86" spans="1:16" x14ac:dyDescent="0.25">
      <c r="A86" s="164">
        <v>85</v>
      </c>
      <c r="B86" s="164">
        <v>1</v>
      </c>
      <c r="C86" s="164">
        <v>0</v>
      </c>
      <c r="D86" s="164">
        <v>0</v>
      </c>
      <c r="E86" s="164">
        <v>10</v>
      </c>
      <c r="F86" s="164">
        <v>90</v>
      </c>
      <c r="G86" s="164">
        <v>797</v>
      </c>
      <c r="H86" s="164">
        <v>0.3</v>
      </c>
      <c r="I86" s="164">
        <v>4</v>
      </c>
      <c r="J86" s="164">
        <v>2.8</v>
      </c>
      <c r="K86" s="164">
        <v>3</v>
      </c>
      <c r="L86" s="164">
        <v>1.9250000000000009</v>
      </c>
      <c r="M86" s="164">
        <v>15.4</v>
      </c>
      <c r="N86" s="164">
        <v>15</v>
      </c>
      <c r="O86" s="164">
        <v>3.3</v>
      </c>
      <c r="P86" s="164">
        <v>3</v>
      </c>
    </row>
    <row r="87" spans="1:16" x14ac:dyDescent="0.25">
      <c r="A87" s="164">
        <v>86</v>
      </c>
      <c r="B87" s="164">
        <v>0</v>
      </c>
      <c r="C87" s="164">
        <v>1</v>
      </c>
      <c r="D87" s="164">
        <v>0</v>
      </c>
      <c r="E87" s="164">
        <v>10</v>
      </c>
      <c r="F87" s="164">
        <v>90</v>
      </c>
      <c r="G87" s="164">
        <v>930</v>
      </c>
      <c r="H87" s="164">
        <v>0.3</v>
      </c>
      <c r="I87" s="164">
        <v>3.8</v>
      </c>
      <c r="J87" s="164">
        <v>2.7</v>
      </c>
      <c r="K87" s="164">
        <v>3</v>
      </c>
      <c r="L87" s="164">
        <v>1.9250000000000009</v>
      </c>
      <c r="M87" s="164">
        <v>15.5</v>
      </c>
      <c r="N87" s="164">
        <v>15</v>
      </c>
      <c r="O87" s="164">
        <v>3.15</v>
      </c>
      <c r="P87" s="164">
        <v>3.0999999999999996</v>
      </c>
    </row>
    <row r="88" spans="1:16" x14ac:dyDescent="0.25">
      <c r="A88" s="164">
        <v>87</v>
      </c>
      <c r="B88" s="164">
        <v>0</v>
      </c>
      <c r="C88" s="164">
        <v>0</v>
      </c>
      <c r="D88" s="164">
        <v>1</v>
      </c>
      <c r="E88" s="164">
        <v>10</v>
      </c>
      <c r="F88" s="164">
        <v>90</v>
      </c>
      <c r="G88" s="164">
        <v>839</v>
      </c>
      <c r="H88" s="164">
        <v>0.3</v>
      </c>
      <c r="I88" s="164">
        <v>4</v>
      </c>
      <c r="J88" s="164">
        <v>2.5</v>
      </c>
      <c r="K88" s="164">
        <v>3</v>
      </c>
      <c r="L88" s="164">
        <v>1.9250000000000009</v>
      </c>
      <c r="M88" s="164">
        <v>15.5</v>
      </c>
      <c r="N88" s="164">
        <v>15</v>
      </c>
      <c r="O88" s="164">
        <v>3</v>
      </c>
      <c r="P88" s="164">
        <v>3</v>
      </c>
    </row>
    <row r="89" spans="1:16" x14ac:dyDescent="0.25">
      <c r="A89" s="164">
        <v>88</v>
      </c>
      <c r="B89" s="164">
        <v>1</v>
      </c>
      <c r="C89" s="164">
        <v>0</v>
      </c>
      <c r="D89" s="164">
        <v>0</v>
      </c>
      <c r="E89" s="164">
        <v>10</v>
      </c>
      <c r="F89" s="164">
        <v>180</v>
      </c>
      <c r="G89" s="164">
        <v>772</v>
      </c>
      <c r="H89" s="164">
        <v>0.3</v>
      </c>
      <c r="I89" s="164">
        <v>4</v>
      </c>
      <c r="J89" s="164">
        <v>2.8</v>
      </c>
      <c r="K89" s="164">
        <v>3</v>
      </c>
      <c r="L89" s="164">
        <v>1.9250000000000009</v>
      </c>
      <c r="M89" s="164">
        <v>15.7</v>
      </c>
      <c r="N89" s="164">
        <v>15</v>
      </c>
      <c r="O89" s="164">
        <v>5.2</v>
      </c>
      <c r="P89" s="164">
        <v>2.9</v>
      </c>
    </row>
    <row r="90" spans="1:16" x14ac:dyDescent="0.25">
      <c r="A90" s="164">
        <v>89</v>
      </c>
      <c r="B90" s="164">
        <v>0</v>
      </c>
      <c r="C90" s="164">
        <v>1</v>
      </c>
      <c r="D90" s="164">
        <v>0</v>
      </c>
      <c r="E90" s="164">
        <v>10</v>
      </c>
      <c r="F90" s="164">
        <v>180</v>
      </c>
      <c r="G90" s="164">
        <v>737</v>
      </c>
      <c r="H90" s="164">
        <v>0.3</v>
      </c>
      <c r="I90" s="164">
        <v>3.8</v>
      </c>
      <c r="J90" s="164">
        <v>2.7</v>
      </c>
      <c r="K90" s="164">
        <v>3</v>
      </c>
      <c r="L90" s="164">
        <v>1.9250000000000009</v>
      </c>
      <c r="M90" s="164">
        <v>15.4</v>
      </c>
      <c r="N90" s="164">
        <v>15</v>
      </c>
      <c r="O90" s="164">
        <v>4.95</v>
      </c>
      <c r="P90" s="164">
        <v>3</v>
      </c>
    </row>
    <row r="91" spans="1:16" x14ac:dyDescent="0.25">
      <c r="A91" s="164">
        <v>90</v>
      </c>
      <c r="B91" s="164">
        <v>0</v>
      </c>
      <c r="C91" s="164">
        <v>0</v>
      </c>
      <c r="D91" s="164">
        <v>1</v>
      </c>
      <c r="E91" s="164">
        <v>10</v>
      </c>
      <c r="F91" s="164">
        <v>180</v>
      </c>
      <c r="G91" s="164">
        <v>756</v>
      </c>
      <c r="H91" s="164">
        <v>0.3</v>
      </c>
      <c r="I91" s="164">
        <v>4</v>
      </c>
      <c r="J91" s="164">
        <v>2.5</v>
      </c>
      <c r="K91" s="164">
        <v>3</v>
      </c>
      <c r="L91" s="164">
        <v>1.9250000000000009</v>
      </c>
      <c r="M91" s="164">
        <v>15.8</v>
      </c>
      <c r="N91" s="164">
        <v>15</v>
      </c>
      <c r="O91" s="164">
        <v>5</v>
      </c>
      <c r="P91" s="164">
        <v>2.9</v>
      </c>
    </row>
    <row r="92" spans="1:16" x14ac:dyDescent="0.25">
      <c r="A92" s="164">
        <v>91</v>
      </c>
      <c r="B92" s="164">
        <v>1</v>
      </c>
      <c r="C92" s="164">
        <v>0</v>
      </c>
      <c r="D92" s="164">
        <v>0</v>
      </c>
      <c r="E92" s="164">
        <v>10</v>
      </c>
      <c r="F92" s="164">
        <v>90</v>
      </c>
      <c r="G92" s="164">
        <v>797</v>
      </c>
      <c r="H92" s="164">
        <v>0.3</v>
      </c>
      <c r="I92" s="164">
        <v>4</v>
      </c>
      <c r="J92" s="164">
        <v>2.8</v>
      </c>
      <c r="K92" s="164">
        <v>3</v>
      </c>
      <c r="L92" s="164">
        <v>1.900000000000001</v>
      </c>
      <c r="M92" s="164">
        <v>15.8</v>
      </c>
      <c r="N92" s="164">
        <v>16</v>
      </c>
      <c r="O92" s="164">
        <v>3.35</v>
      </c>
      <c r="P92" s="164">
        <v>2.9499999999999997</v>
      </c>
    </row>
    <row r="93" spans="1:16" x14ac:dyDescent="0.25">
      <c r="A93" s="164">
        <v>92</v>
      </c>
      <c r="B93" s="164">
        <v>0</v>
      </c>
      <c r="C93" s="164">
        <v>1</v>
      </c>
      <c r="D93" s="164">
        <v>0</v>
      </c>
      <c r="E93" s="164">
        <v>10</v>
      </c>
      <c r="F93" s="164">
        <v>90</v>
      </c>
      <c r="G93" s="164">
        <v>930</v>
      </c>
      <c r="H93" s="164">
        <v>0.3</v>
      </c>
      <c r="I93" s="164">
        <v>3.8</v>
      </c>
      <c r="J93" s="164">
        <v>2.7</v>
      </c>
      <c r="K93" s="164">
        <v>3</v>
      </c>
      <c r="L93" s="164">
        <v>1.900000000000001</v>
      </c>
      <c r="M93" s="164">
        <v>15.8</v>
      </c>
      <c r="N93" s="164">
        <v>16</v>
      </c>
      <c r="O93" s="164">
        <v>3.25</v>
      </c>
      <c r="P93" s="164">
        <v>3.0999999999999996</v>
      </c>
    </row>
    <row r="94" spans="1:16" x14ac:dyDescent="0.25">
      <c r="A94" s="164">
        <v>93</v>
      </c>
      <c r="B94" s="164">
        <v>0</v>
      </c>
      <c r="C94" s="164">
        <v>0</v>
      </c>
      <c r="D94" s="164">
        <v>1</v>
      </c>
      <c r="E94" s="164">
        <v>10</v>
      </c>
      <c r="F94" s="164">
        <v>90</v>
      </c>
      <c r="G94" s="164">
        <v>839</v>
      </c>
      <c r="H94" s="164">
        <v>0.3</v>
      </c>
      <c r="I94" s="164">
        <v>4</v>
      </c>
      <c r="J94" s="164">
        <v>2.5</v>
      </c>
      <c r="K94" s="164">
        <v>3</v>
      </c>
      <c r="L94" s="164">
        <v>1.900000000000001</v>
      </c>
      <c r="M94" s="164">
        <v>15.6</v>
      </c>
      <c r="N94" s="164">
        <v>16</v>
      </c>
      <c r="O94" s="164">
        <v>3</v>
      </c>
      <c r="P94" s="164">
        <v>3</v>
      </c>
    </row>
    <row r="95" spans="1:16" x14ac:dyDescent="0.25">
      <c r="A95" s="164">
        <v>94</v>
      </c>
      <c r="B95" s="164">
        <v>1</v>
      </c>
      <c r="C95" s="164">
        <v>0</v>
      </c>
      <c r="D95" s="164">
        <v>0</v>
      </c>
      <c r="E95" s="164">
        <v>10</v>
      </c>
      <c r="F95" s="164">
        <v>180</v>
      </c>
      <c r="G95" s="164">
        <v>772</v>
      </c>
      <c r="H95" s="164">
        <v>0.3</v>
      </c>
      <c r="I95" s="164">
        <v>4</v>
      </c>
      <c r="J95" s="164">
        <v>2.8</v>
      </c>
      <c r="K95" s="164">
        <v>3</v>
      </c>
      <c r="L95" s="164">
        <v>1.900000000000001</v>
      </c>
      <c r="M95" s="164">
        <v>16</v>
      </c>
      <c r="N95" s="164">
        <v>16</v>
      </c>
      <c r="O95" s="164">
        <v>5.0999999999999996</v>
      </c>
      <c r="P95" s="164">
        <v>2.9</v>
      </c>
    </row>
    <row r="96" spans="1:16" x14ac:dyDescent="0.25">
      <c r="A96" s="164">
        <v>95</v>
      </c>
      <c r="B96" s="164">
        <v>0</v>
      </c>
      <c r="C96" s="164">
        <v>1</v>
      </c>
      <c r="D96" s="164">
        <v>0</v>
      </c>
      <c r="E96" s="164">
        <v>10</v>
      </c>
      <c r="F96" s="164">
        <v>180</v>
      </c>
      <c r="G96" s="164">
        <v>737</v>
      </c>
      <c r="H96" s="164">
        <v>0.3</v>
      </c>
      <c r="I96" s="164">
        <v>3.8</v>
      </c>
      <c r="J96" s="164">
        <v>2.7</v>
      </c>
      <c r="K96" s="164">
        <v>3</v>
      </c>
      <c r="L96" s="164">
        <v>1.900000000000001</v>
      </c>
      <c r="M96" s="164">
        <v>15.9</v>
      </c>
      <c r="N96" s="164">
        <v>16</v>
      </c>
      <c r="O96" s="164">
        <v>4.8</v>
      </c>
      <c r="P96" s="164">
        <v>2.9</v>
      </c>
    </row>
    <row r="97" spans="1:16" x14ac:dyDescent="0.25">
      <c r="A97" s="164">
        <v>96</v>
      </c>
      <c r="B97" s="164">
        <v>0</v>
      </c>
      <c r="C97" s="164">
        <v>0</v>
      </c>
      <c r="D97" s="164">
        <v>1</v>
      </c>
      <c r="E97" s="164">
        <v>10</v>
      </c>
      <c r="F97" s="164">
        <v>180</v>
      </c>
      <c r="G97" s="164">
        <v>756</v>
      </c>
      <c r="H97" s="164">
        <v>0.3</v>
      </c>
      <c r="I97" s="164">
        <v>4</v>
      </c>
      <c r="J97" s="164">
        <v>2.5</v>
      </c>
      <c r="K97" s="164">
        <v>3</v>
      </c>
      <c r="L97" s="164">
        <v>1.900000000000001</v>
      </c>
      <c r="M97" s="164">
        <v>15.7</v>
      </c>
      <c r="N97" s="164">
        <v>16</v>
      </c>
      <c r="O97" s="164">
        <v>5</v>
      </c>
      <c r="P97" s="164">
        <v>2.8</v>
      </c>
    </row>
    <row r="98" spans="1:16" x14ac:dyDescent="0.25">
      <c r="A98" s="164">
        <v>97</v>
      </c>
      <c r="B98" s="164">
        <v>1</v>
      </c>
      <c r="C98" s="164">
        <v>0</v>
      </c>
      <c r="D98" s="164">
        <v>0</v>
      </c>
      <c r="E98" s="164">
        <v>10</v>
      </c>
      <c r="F98" s="164">
        <v>90</v>
      </c>
      <c r="G98" s="164">
        <v>797</v>
      </c>
      <c r="H98" s="164">
        <v>0.3</v>
      </c>
      <c r="I98" s="164">
        <v>4</v>
      </c>
      <c r="J98" s="164">
        <v>2.8</v>
      </c>
      <c r="K98" s="164">
        <v>3</v>
      </c>
      <c r="L98" s="164">
        <v>1.8750000000000011</v>
      </c>
      <c r="M98" s="164">
        <v>15.8</v>
      </c>
      <c r="N98" s="164">
        <v>17</v>
      </c>
      <c r="O98" s="164">
        <v>3.25</v>
      </c>
      <c r="P98" s="164">
        <v>2.9</v>
      </c>
    </row>
    <row r="99" spans="1:16" x14ac:dyDescent="0.25">
      <c r="A99" s="164">
        <v>98</v>
      </c>
      <c r="B99" s="164">
        <v>0</v>
      </c>
      <c r="C99" s="164">
        <v>1</v>
      </c>
      <c r="D99" s="164">
        <v>0</v>
      </c>
      <c r="E99" s="164">
        <v>10</v>
      </c>
      <c r="F99" s="164">
        <v>90</v>
      </c>
      <c r="G99" s="164">
        <v>930</v>
      </c>
      <c r="H99" s="164">
        <v>0.3</v>
      </c>
      <c r="I99" s="164">
        <v>3.8</v>
      </c>
      <c r="J99" s="164">
        <v>2.7</v>
      </c>
      <c r="K99" s="164">
        <v>3</v>
      </c>
      <c r="L99" s="164">
        <v>1.8750000000000011</v>
      </c>
      <c r="M99" s="164">
        <v>15.8</v>
      </c>
      <c r="N99" s="164">
        <v>17</v>
      </c>
      <c r="O99" s="164">
        <v>3</v>
      </c>
      <c r="P99" s="164">
        <v>3</v>
      </c>
    </row>
    <row r="100" spans="1:16" x14ac:dyDescent="0.25">
      <c r="A100" s="164">
        <v>99</v>
      </c>
      <c r="B100" s="164">
        <v>0</v>
      </c>
      <c r="C100" s="164">
        <v>0</v>
      </c>
      <c r="D100" s="164">
        <v>1</v>
      </c>
      <c r="E100" s="164">
        <v>10</v>
      </c>
      <c r="F100" s="164">
        <v>90</v>
      </c>
      <c r="G100" s="164">
        <v>839</v>
      </c>
      <c r="H100" s="164">
        <v>0.3</v>
      </c>
      <c r="I100" s="164">
        <v>4</v>
      </c>
      <c r="J100" s="164">
        <v>2.5</v>
      </c>
      <c r="K100" s="164">
        <v>3</v>
      </c>
      <c r="L100" s="164">
        <v>1.8750000000000011</v>
      </c>
      <c r="M100" s="164">
        <v>15.6</v>
      </c>
      <c r="N100" s="164">
        <v>17</v>
      </c>
      <c r="O100" s="164">
        <v>2.9</v>
      </c>
      <c r="P100" s="164">
        <v>2.9</v>
      </c>
    </row>
    <row r="101" spans="1:16" x14ac:dyDescent="0.25">
      <c r="A101" s="164">
        <v>100</v>
      </c>
      <c r="B101" s="164">
        <v>1</v>
      </c>
      <c r="C101" s="164">
        <v>0</v>
      </c>
      <c r="D101" s="164">
        <v>0</v>
      </c>
      <c r="E101" s="164">
        <v>10</v>
      </c>
      <c r="F101" s="164">
        <v>180</v>
      </c>
      <c r="G101" s="164">
        <v>772</v>
      </c>
      <c r="H101" s="164">
        <v>0.3</v>
      </c>
      <c r="I101" s="164">
        <v>4</v>
      </c>
      <c r="J101" s="164">
        <v>2.8</v>
      </c>
      <c r="K101" s="164">
        <v>3</v>
      </c>
      <c r="L101" s="164">
        <v>1.8750000000000011</v>
      </c>
      <c r="M101" s="164">
        <v>16</v>
      </c>
      <c r="N101" s="164">
        <v>17</v>
      </c>
      <c r="O101" s="164">
        <v>5</v>
      </c>
      <c r="P101" s="164">
        <v>2.8</v>
      </c>
    </row>
    <row r="102" spans="1:16" x14ac:dyDescent="0.25">
      <c r="A102" s="164">
        <v>101</v>
      </c>
      <c r="B102" s="164">
        <v>0</v>
      </c>
      <c r="C102" s="164">
        <v>1</v>
      </c>
      <c r="D102" s="164">
        <v>0</v>
      </c>
      <c r="E102" s="164">
        <v>10</v>
      </c>
      <c r="F102" s="164">
        <v>180</v>
      </c>
      <c r="G102" s="164">
        <v>737</v>
      </c>
      <c r="H102" s="164">
        <v>0.3</v>
      </c>
      <c r="I102" s="164">
        <v>3.8</v>
      </c>
      <c r="J102" s="164">
        <v>2.7</v>
      </c>
      <c r="K102" s="164">
        <v>3</v>
      </c>
      <c r="L102" s="164">
        <v>1.8750000000000011</v>
      </c>
      <c r="M102" s="164">
        <v>15.9</v>
      </c>
      <c r="N102" s="164">
        <v>17</v>
      </c>
      <c r="O102" s="164">
        <v>4.8</v>
      </c>
      <c r="P102" s="164">
        <v>2.9</v>
      </c>
    </row>
    <row r="103" spans="1:16" x14ac:dyDescent="0.25">
      <c r="A103" s="164">
        <v>102</v>
      </c>
      <c r="B103" s="164">
        <v>0</v>
      </c>
      <c r="C103" s="164">
        <v>0</v>
      </c>
      <c r="D103" s="164">
        <v>1</v>
      </c>
      <c r="E103" s="164">
        <v>10</v>
      </c>
      <c r="F103" s="164">
        <v>180</v>
      </c>
      <c r="G103" s="164">
        <v>756</v>
      </c>
      <c r="H103" s="164">
        <v>0.3</v>
      </c>
      <c r="I103" s="164">
        <v>4</v>
      </c>
      <c r="J103" s="164">
        <v>2.5</v>
      </c>
      <c r="K103" s="164">
        <v>3</v>
      </c>
      <c r="L103" s="164">
        <v>1.8750000000000011</v>
      </c>
      <c r="M103" s="164">
        <v>15.7</v>
      </c>
      <c r="N103" s="164">
        <v>17</v>
      </c>
      <c r="O103" s="164">
        <v>5</v>
      </c>
      <c r="P103" s="164">
        <v>2.8</v>
      </c>
    </row>
    <row r="104" spans="1:16" x14ac:dyDescent="0.25">
      <c r="A104" s="164">
        <v>103</v>
      </c>
      <c r="B104" s="164">
        <v>1</v>
      </c>
      <c r="C104" s="164">
        <v>0</v>
      </c>
      <c r="D104" s="164">
        <v>0</v>
      </c>
      <c r="E104" s="164">
        <v>10</v>
      </c>
      <c r="F104" s="164">
        <v>90</v>
      </c>
      <c r="G104" s="164">
        <v>797</v>
      </c>
      <c r="H104" s="164">
        <v>0.3</v>
      </c>
      <c r="I104" s="164">
        <v>4</v>
      </c>
      <c r="J104" s="164">
        <v>2.8</v>
      </c>
      <c r="K104" s="164">
        <v>3</v>
      </c>
      <c r="L104" s="164">
        <v>1.8500000000000012</v>
      </c>
      <c r="M104" s="164">
        <v>15.8</v>
      </c>
      <c r="N104" s="164">
        <v>18</v>
      </c>
      <c r="O104" s="164">
        <v>3.25</v>
      </c>
      <c r="P104" s="164">
        <v>2.9</v>
      </c>
    </row>
    <row r="105" spans="1:16" x14ac:dyDescent="0.25">
      <c r="A105" s="164">
        <v>104</v>
      </c>
      <c r="B105" s="164">
        <v>0</v>
      </c>
      <c r="C105" s="164">
        <v>1</v>
      </c>
      <c r="D105" s="164">
        <v>0</v>
      </c>
      <c r="E105" s="164">
        <v>10</v>
      </c>
      <c r="F105" s="164">
        <v>90</v>
      </c>
      <c r="G105" s="164">
        <v>930</v>
      </c>
      <c r="H105" s="164">
        <v>0.3</v>
      </c>
      <c r="I105" s="164">
        <v>3.8</v>
      </c>
      <c r="J105" s="164">
        <v>2.7</v>
      </c>
      <c r="K105" s="164">
        <v>3</v>
      </c>
      <c r="L105" s="164">
        <v>1.8500000000000012</v>
      </c>
      <c r="M105" s="164">
        <v>15.8</v>
      </c>
      <c r="N105" s="164">
        <v>18</v>
      </c>
      <c r="O105" s="164">
        <v>3.05</v>
      </c>
      <c r="P105" s="164">
        <v>3</v>
      </c>
    </row>
    <row r="106" spans="1:16" x14ac:dyDescent="0.25">
      <c r="A106" s="164">
        <v>105</v>
      </c>
      <c r="B106" s="164">
        <v>0</v>
      </c>
      <c r="C106" s="164">
        <v>0</v>
      </c>
      <c r="D106" s="164">
        <v>1</v>
      </c>
      <c r="E106" s="164">
        <v>10</v>
      </c>
      <c r="F106" s="164">
        <v>90</v>
      </c>
      <c r="G106" s="164">
        <v>839</v>
      </c>
      <c r="H106" s="164">
        <v>0.3</v>
      </c>
      <c r="I106" s="164">
        <v>4</v>
      </c>
      <c r="J106" s="164">
        <v>2.5</v>
      </c>
      <c r="K106" s="164">
        <v>3</v>
      </c>
      <c r="L106" s="164">
        <v>1.8500000000000012</v>
      </c>
      <c r="M106" s="164">
        <v>15.6</v>
      </c>
      <c r="N106" s="164">
        <v>18</v>
      </c>
      <c r="O106" s="164">
        <v>3</v>
      </c>
      <c r="P106" s="164">
        <v>3</v>
      </c>
    </row>
    <row r="107" spans="1:16" x14ac:dyDescent="0.25">
      <c r="A107" s="164">
        <v>106</v>
      </c>
      <c r="B107" s="164">
        <v>1</v>
      </c>
      <c r="C107" s="164">
        <v>0</v>
      </c>
      <c r="D107" s="164">
        <v>0</v>
      </c>
      <c r="E107" s="164">
        <v>10</v>
      </c>
      <c r="F107" s="164">
        <v>180</v>
      </c>
      <c r="G107" s="164">
        <v>772</v>
      </c>
      <c r="H107" s="164">
        <v>0.3</v>
      </c>
      <c r="I107" s="164">
        <v>4</v>
      </c>
      <c r="J107" s="164">
        <v>2.8</v>
      </c>
      <c r="K107" s="164">
        <v>3</v>
      </c>
      <c r="L107" s="164">
        <v>1.8500000000000012</v>
      </c>
      <c r="M107" s="164">
        <v>16</v>
      </c>
      <c r="N107" s="164">
        <v>18</v>
      </c>
      <c r="O107" s="164">
        <v>5</v>
      </c>
      <c r="P107" s="164">
        <v>2.8</v>
      </c>
    </row>
    <row r="108" spans="1:16" x14ac:dyDescent="0.25">
      <c r="A108" s="164">
        <v>107</v>
      </c>
      <c r="B108" s="164">
        <v>0</v>
      </c>
      <c r="C108" s="164">
        <v>1</v>
      </c>
      <c r="D108" s="164">
        <v>0</v>
      </c>
      <c r="E108" s="164">
        <v>10</v>
      </c>
      <c r="F108" s="164">
        <v>180</v>
      </c>
      <c r="G108" s="164">
        <v>737</v>
      </c>
      <c r="H108" s="164">
        <v>0.3</v>
      </c>
      <c r="I108" s="164">
        <v>3.8</v>
      </c>
      <c r="J108" s="164">
        <v>2.7</v>
      </c>
      <c r="K108" s="164">
        <v>3</v>
      </c>
      <c r="L108" s="164">
        <v>1.8500000000000012</v>
      </c>
      <c r="M108" s="164">
        <v>15.9</v>
      </c>
      <c r="N108" s="164">
        <v>18</v>
      </c>
      <c r="O108" s="164">
        <v>4.75</v>
      </c>
      <c r="P108" s="164">
        <v>2.8</v>
      </c>
    </row>
    <row r="109" spans="1:16" x14ac:dyDescent="0.25">
      <c r="A109" s="164">
        <v>108</v>
      </c>
      <c r="B109" s="164">
        <v>0</v>
      </c>
      <c r="C109" s="164">
        <v>0</v>
      </c>
      <c r="D109" s="164">
        <v>1</v>
      </c>
      <c r="E109" s="164">
        <v>10</v>
      </c>
      <c r="F109" s="164">
        <v>180</v>
      </c>
      <c r="G109" s="164">
        <v>756</v>
      </c>
      <c r="H109" s="164">
        <v>0.3</v>
      </c>
      <c r="I109" s="164">
        <v>4</v>
      </c>
      <c r="J109" s="164">
        <v>2.5</v>
      </c>
      <c r="K109" s="164">
        <v>3</v>
      </c>
      <c r="L109" s="164">
        <v>1.8500000000000012</v>
      </c>
      <c r="M109" s="164">
        <v>15.7</v>
      </c>
      <c r="N109" s="164">
        <v>18</v>
      </c>
      <c r="O109" s="164">
        <v>4.95</v>
      </c>
      <c r="P109" s="164">
        <v>2.8</v>
      </c>
    </row>
    <row r="110" spans="1:16" x14ac:dyDescent="0.25">
      <c r="A110" s="164">
        <v>109</v>
      </c>
      <c r="B110" s="164">
        <v>1</v>
      </c>
      <c r="C110" s="164">
        <v>0</v>
      </c>
      <c r="D110" s="164">
        <v>0</v>
      </c>
      <c r="E110" s="164">
        <v>10</v>
      </c>
      <c r="F110" s="164">
        <v>90</v>
      </c>
      <c r="G110" s="164">
        <v>797</v>
      </c>
      <c r="H110" s="164">
        <v>0.3</v>
      </c>
      <c r="I110" s="164">
        <v>4</v>
      </c>
      <c r="J110" s="164">
        <v>2.8</v>
      </c>
      <c r="K110" s="164">
        <v>3</v>
      </c>
      <c r="L110" s="164">
        <v>1.8250000000000013</v>
      </c>
      <c r="M110" s="164">
        <v>15.8</v>
      </c>
      <c r="N110" s="164">
        <v>19</v>
      </c>
      <c r="O110" s="164">
        <v>3.2</v>
      </c>
      <c r="P110" s="164">
        <v>2.9</v>
      </c>
    </row>
    <row r="111" spans="1:16" x14ac:dyDescent="0.25">
      <c r="A111" s="164">
        <v>110</v>
      </c>
      <c r="B111" s="164">
        <v>0</v>
      </c>
      <c r="C111" s="164">
        <v>1</v>
      </c>
      <c r="D111" s="164">
        <v>0</v>
      </c>
      <c r="E111" s="164">
        <v>10</v>
      </c>
      <c r="F111" s="164">
        <v>90</v>
      </c>
      <c r="G111" s="164">
        <v>930</v>
      </c>
      <c r="H111" s="164">
        <v>0.3</v>
      </c>
      <c r="I111" s="164">
        <v>3.8</v>
      </c>
      <c r="J111" s="164">
        <v>2.7</v>
      </c>
      <c r="K111" s="164">
        <v>3</v>
      </c>
      <c r="L111" s="164">
        <v>1.8250000000000013</v>
      </c>
      <c r="M111" s="164">
        <v>15.8</v>
      </c>
      <c r="N111" s="164">
        <v>19</v>
      </c>
      <c r="O111" s="164">
        <v>3</v>
      </c>
      <c r="P111" s="164">
        <v>3</v>
      </c>
    </row>
    <row r="112" spans="1:16" x14ac:dyDescent="0.25">
      <c r="A112" s="164">
        <v>111</v>
      </c>
      <c r="B112" s="164">
        <v>0</v>
      </c>
      <c r="C112" s="164">
        <v>0</v>
      </c>
      <c r="D112" s="164">
        <v>1</v>
      </c>
      <c r="E112" s="164">
        <v>10</v>
      </c>
      <c r="F112" s="164">
        <v>90</v>
      </c>
      <c r="G112" s="164">
        <v>839</v>
      </c>
      <c r="H112" s="164">
        <v>0.3</v>
      </c>
      <c r="I112" s="164">
        <v>4</v>
      </c>
      <c r="J112" s="164">
        <v>2.5</v>
      </c>
      <c r="K112" s="164">
        <v>3</v>
      </c>
      <c r="L112" s="164">
        <v>1.8250000000000013</v>
      </c>
      <c r="M112" s="164">
        <v>15.6</v>
      </c>
      <c r="N112" s="164">
        <v>19</v>
      </c>
      <c r="O112" s="164">
        <v>2.95</v>
      </c>
      <c r="P112" s="164">
        <v>2.9</v>
      </c>
    </row>
    <row r="113" spans="1:16" x14ac:dyDescent="0.25">
      <c r="A113" s="164">
        <v>112</v>
      </c>
      <c r="B113" s="164">
        <v>1</v>
      </c>
      <c r="C113" s="164">
        <v>0</v>
      </c>
      <c r="D113" s="164">
        <v>0</v>
      </c>
      <c r="E113" s="164">
        <v>10</v>
      </c>
      <c r="F113" s="164">
        <v>180</v>
      </c>
      <c r="G113" s="164">
        <v>772</v>
      </c>
      <c r="H113" s="164">
        <v>0.3</v>
      </c>
      <c r="I113" s="164">
        <v>4</v>
      </c>
      <c r="J113" s="164">
        <v>2.8</v>
      </c>
      <c r="K113" s="164">
        <v>3</v>
      </c>
      <c r="L113" s="164">
        <v>1.8250000000000013</v>
      </c>
      <c r="M113" s="164">
        <v>16</v>
      </c>
      <c r="N113" s="164">
        <v>19</v>
      </c>
      <c r="O113" s="164">
        <v>5</v>
      </c>
      <c r="P113" s="164">
        <v>2.8</v>
      </c>
    </row>
    <row r="114" spans="1:16" x14ac:dyDescent="0.25">
      <c r="A114" s="164">
        <v>113</v>
      </c>
      <c r="B114" s="164">
        <v>0</v>
      </c>
      <c r="C114" s="164">
        <v>1</v>
      </c>
      <c r="D114" s="164">
        <v>0</v>
      </c>
      <c r="E114" s="164">
        <v>10</v>
      </c>
      <c r="F114" s="164">
        <v>180</v>
      </c>
      <c r="G114" s="164">
        <v>737</v>
      </c>
      <c r="H114" s="164">
        <v>0.3</v>
      </c>
      <c r="I114" s="164">
        <v>3.8</v>
      </c>
      <c r="J114" s="164">
        <v>2.7</v>
      </c>
      <c r="K114" s="164">
        <v>3</v>
      </c>
      <c r="L114" s="164">
        <v>1.8250000000000013</v>
      </c>
      <c r="M114" s="164">
        <v>15.9</v>
      </c>
      <c r="N114" s="164">
        <v>19</v>
      </c>
      <c r="O114" s="164">
        <v>4.7</v>
      </c>
      <c r="P114" s="164">
        <v>2.9</v>
      </c>
    </row>
    <row r="115" spans="1:16" x14ac:dyDescent="0.25">
      <c r="A115" s="164">
        <v>114</v>
      </c>
      <c r="B115" s="164">
        <v>0</v>
      </c>
      <c r="C115" s="164">
        <v>0</v>
      </c>
      <c r="D115" s="164">
        <v>1</v>
      </c>
      <c r="E115" s="164">
        <v>10</v>
      </c>
      <c r="F115" s="164">
        <v>180</v>
      </c>
      <c r="G115" s="164">
        <v>756</v>
      </c>
      <c r="H115" s="164">
        <v>0.3</v>
      </c>
      <c r="I115" s="164">
        <v>4</v>
      </c>
      <c r="J115" s="164">
        <v>2.5</v>
      </c>
      <c r="K115" s="164">
        <v>3</v>
      </c>
      <c r="L115" s="164">
        <v>1.8250000000000013</v>
      </c>
      <c r="M115" s="164">
        <v>15.7</v>
      </c>
      <c r="N115" s="164">
        <v>19</v>
      </c>
      <c r="O115" s="164">
        <v>5</v>
      </c>
      <c r="P115" s="164">
        <v>2.8</v>
      </c>
    </row>
    <row r="116" spans="1:16" x14ac:dyDescent="0.25">
      <c r="A116" s="164">
        <v>115</v>
      </c>
      <c r="B116" s="164">
        <v>1</v>
      </c>
      <c r="C116" s="164">
        <v>0</v>
      </c>
      <c r="D116" s="164">
        <v>0</v>
      </c>
      <c r="E116" s="164">
        <v>10</v>
      </c>
      <c r="F116" s="164">
        <v>90</v>
      </c>
      <c r="G116" s="164">
        <v>797</v>
      </c>
      <c r="H116" s="164">
        <v>0.3</v>
      </c>
      <c r="I116" s="164">
        <v>4</v>
      </c>
      <c r="J116" s="164">
        <v>2.8</v>
      </c>
      <c r="K116" s="164">
        <v>3</v>
      </c>
      <c r="L116" s="164">
        <v>1.8000000000000014</v>
      </c>
      <c r="M116" s="164">
        <v>15.8</v>
      </c>
      <c r="N116" s="164">
        <v>20</v>
      </c>
      <c r="O116" s="164">
        <v>3.2</v>
      </c>
      <c r="P116" s="164">
        <v>2.9</v>
      </c>
    </row>
    <row r="117" spans="1:16" x14ac:dyDescent="0.25">
      <c r="A117" s="164">
        <v>116</v>
      </c>
      <c r="B117" s="164">
        <v>0</v>
      </c>
      <c r="C117" s="164">
        <v>1</v>
      </c>
      <c r="D117" s="164">
        <v>0</v>
      </c>
      <c r="E117" s="164">
        <v>10</v>
      </c>
      <c r="F117" s="164">
        <v>90</v>
      </c>
      <c r="G117" s="164">
        <v>930</v>
      </c>
      <c r="H117" s="164">
        <v>0.3</v>
      </c>
      <c r="I117" s="164">
        <v>3.8</v>
      </c>
      <c r="J117" s="164">
        <v>2.7</v>
      </c>
      <c r="K117" s="164">
        <v>3</v>
      </c>
      <c r="L117" s="164">
        <v>1.8000000000000014</v>
      </c>
      <c r="M117" s="164">
        <v>15.8</v>
      </c>
      <c r="N117" s="164">
        <v>20</v>
      </c>
      <c r="O117" s="164">
        <v>3</v>
      </c>
      <c r="P117" s="164">
        <v>3</v>
      </c>
    </row>
    <row r="118" spans="1:16" x14ac:dyDescent="0.25">
      <c r="A118" s="164">
        <v>117</v>
      </c>
      <c r="B118" s="164">
        <v>0</v>
      </c>
      <c r="C118" s="164">
        <v>0</v>
      </c>
      <c r="D118" s="164">
        <v>1</v>
      </c>
      <c r="E118" s="164">
        <v>10</v>
      </c>
      <c r="F118" s="164">
        <v>90</v>
      </c>
      <c r="G118" s="164">
        <v>839</v>
      </c>
      <c r="H118" s="164">
        <v>0.3</v>
      </c>
      <c r="I118" s="164">
        <v>4</v>
      </c>
      <c r="J118" s="164">
        <v>2.5</v>
      </c>
      <c r="K118" s="164">
        <v>3</v>
      </c>
      <c r="L118" s="164">
        <v>1.8000000000000014</v>
      </c>
      <c r="M118" s="164">
        <v>15.6</v>
      </c>
      <c r="N118" s="164">
        <v>20</v>
      </c>
      <c r="O118" s="164">
        <v>2.9</v>
      </c>
      <c r="P118" s="164">
        <v>2.9</v>
      </c>
    </row>
    <row r="119" spans="1:16" x14ac:dyDescent="0.25">
      <c r="A119" s="164">
        <v>118</v>
      </c>
      <c r="B119" s="164">
        <v>1</v>
      </c>
      <c r="C119" s="164">
        <v>0</v>
      </c>
      <c r="D119" s="164">
        <v>0</v>
      </c>
      <c r="E119" s="164">
        <v>10</v>
      </c>
      <c r="F119" s="164">
        <v>180</v>
      </c>
      <c r="G119" s="164">
        <v>772</v>
      </c>
      <c r="H119" s="164">
        <v>0.3</v>
      </c>
      <c r="I119" s="164">
        <v>4</v>
      </c>
      <c r="J119" s="164">
        <v>2.8</v>
      </c>
      <c r="K119" s="164">
        <v>3</v>
      </c>
      <c r="L119" s="164">
        <v>1.8000000000000014</v>
      </c>
      <c r="M119" s="164">
        <v>16</v>
      </c>
      <c r="N119" s="164">
        <v>20</v>
      </c>
      <c r="O119" s="164">
        <v>4.95</v>
      </c>
      <c r="P119" s="164">
        <v>2.8</v>
      </c>
    </row>
    <row r="120" spans="1:16" x14ac:dyDescent="0.25">
      <c r="A120" s="164">
        <v>119</v>
      </c>
      <c r="B120" s="164">
        <v>0</v>
      </c>
      <c r="C120" s="164">
        <v>1</v>
      </c>
      <c r="D120" s="164">
        <v>0</v>
      </c>
      <c r="E120" s="164">
        <v>10</v>
      </c>
      <c r="F120" s="164">
        <v>180</v>
      </c>
      <c r="G120" s="164">
        <v>737</v>
      </c>
      <c r="H120" s="164">
        <v>0.3</v>
      </c>
      <c r="I120" s="164">
        <v>3.8</v>
      </c>
      <c r="J120" s="164">
        <v>2.7</v>
      </c>
      <c r="K120" s="164">
        <v>3</v>
      </c>
      <c r="L120" s="164">
        <v>1.8000000000000014</v>
      </c>
      <c r="M120" s="164">
        <v>15.9</v>
      </c>
      <c r="N120" s="164">
        <v>20</v>
      </c>
      <c r="O120" s="164">
        <v>4.7</v>
      </c>
      <c r="P120" s="164">
        <v>2.9</v>
      </c>
    </row>
    <row r="121" spans="1:16" x14ac:dyDescent="0.25">
      <c r="A121" s="164">
        <v>120</v>
      </c>
      <c r="B121" s="164">
        <v>0</v>
      </c>
      <c r="C121" s="164">
        <v>0</v>
      </c>
      <c r="D121" s="164">
        <v>1</v>
      </c>
      <c r="E121" s="164">
        <v>10</v>
      </c>
      <c r="F121" s="164">
        <v>180</v>
      </c>
      <c r="G121" s="164">
        <v>756</v>
      </c>
      <c r="H121" s="164">
        <v>0.3</v>
      </c>
      <c r="I121" s="164">
        <v>4</v>
      </c>
      <c r="J121" s="164">
        <v>2.5</v>
      </c>
      <c r="K121" s="164">
        <v>3</v>
      </c>
      <c r="L121" s="164">
        <v>1.8000000000000014</v>
      </c>
      <c r="M121" s="164">
        <v>15.7</v>
      </c>
      <c r="N121" s="164">
        <v>20</v>
      </c>
      <c r="O121" s="164">
        <v>4.9000000000000004</v>
      </c>
      <c r="P121" s="164">
        <v>2.8</v>
      </c>
    </row>
    <row r="122" spans="1:16" x14ac:dyDescent="0.25">
      <c r="A122" s="165">
        <v>121</v>
      </c>
      <c r="B122" s="165">
        <v>1</v>
      </c>
      <c r="C122" s="165">
        <v>0</v>
      </c>
      <c r="D122" s="165">
        <v>0</v>
      </c>
      <c r="E122" s="165">
        <v>3.75</v>
      </c>
      <c r="F122" s="165">
        <v>200</v>
      </c>
      <c r="G122" s="166">
        <v>565</v>
      </c>
      <c r="H122" s="166">
        <v>0.5</v>
      </c>
      <c r="I122" s="166">
        <v>3.75</v>
      </c>
      <c r="J122" s="166">
        <v>2.75</v>
      </c>
      <c r="K122" s="165">
        <v>2.5</v>
      </c>
      <c r="L122" s="165">
        <v>3</v>
      </c>
      <c r="M122" s="166">
        <v>17.5</v>
      </c>
      <c r="N122" s="165">
        <v>1</v>
      </c>
      <c r="O122" s="166">
        <v>8.25</v>
      </c>
      <c r="P122" s="166">
        <v>3.7</v>
      </c>
    </row>
    <row r="123" spans="1:16" x14ac:dyDescent="0.25">
      <c r="A123" s="165">
        <v>122</v>
      </c>
      <c r="B123" s="165">
        <v>0</v>
      </c>
      <c r="C123" s="165">
        <v>1</v>
      </c>
      <c r="D123" s="165">
        <v>0</v>
      </c>
      <c r="E123" s="165">
        <v>3</v>
      </c>
      <c r="F123" s="165">
        <v>160</v>
      </c>
      <c r="G123" s="166">
        <v>827</v>
      </c>
      <c r="H123" s="166">
        <v>0.4</v>
      </c>
      <c r="I123" s="166">
        <v>3.65</v>
      </c>
      <c r="J123" s="166">
        <v>2.85</v>
      </c>
      <c r="K123" s="165">
        <v>2</v>
      </c>
      <c r="L123" s="165">
        <v>2.4</v>
      </c>
      <c r="M123" s="166">
        <v>17.399999999999999</v>
      </c>
      <c r="N123" s="165">
        <v>1</v>
      </c>
      <c r="O123" s="166">
        <v>6.5</v>
      </c>
      <c r="P123" s="166">
        <v>3.1</v>
      </c>
    </row>
    <row r="124" spans="1:16" x14ac:dyDescent="0.25">
      <c r="A124" s="165">
        <v>123</v>
      </c>
      <c r="B124" s="165">
        <v>0</v>
      </c>
      <c r="C124" s="165">
        <v>0</v>
      </c>
      <c r="D124" s="165">
        <v>1</v>
      </c>
      <c r="E124" s="165">
        <v>3.75</v>
      </c>
      <c r="F124" s="165">
        <v>250</v>
      </c>
      <c r="G124" s="166">
        <v>560</v>
      </c>
      <c r="H124" s="166">
        <v>0.5</v>
      </c>
      <c r="I124" s="166">
        <v>3.8</v>
      </c>
      <c r="J124" s="166">
        <v>2.8</v>
      </c>
      <c r="K124" s="165">
        <v>2.5</v>
      </c>
      <c r="L124" s="165">
        <v>3</v>
      </c>
      <c r="M124" s="166">
        <v>17.8</v>
      </c>
      <c r="N124" s="165">
        <v>1</v>
      </c>
      <c r="O124" s="166">
        <v>8.8000000000000007</v>
      </c>
      <c r="P124" s="166">
        <v>3.5</v>
      </c>
    </row>
    <row r="125" spans="1:16" x14ac:dyDescent="0.25">
      <c r="A125" s="165">
        <v>124</v>
      </c>
      <c r="B125" s="165">
        <v>1</v>
      </c>
      <c r="C125" s="165">
        <v>0</v>
      </c>
      <c r="D125" s="165">
        <v>0</v>
      </c>
      <c r="E125" s="165">
        <v>4.5</v>
      </c>
      <c r="F125" s="165">
        <v>300</v>
      </c>
      <c r="G125" s="166">
        <v>1060</v>
      </c>
      <c r="H125" s="166">
        <v>0.60000000000000009</v>
      </c>
      <c r="I125" s="166">
        <v>3.75</v>
      </c>
      <c r="J125" s="166">
        <v>2.75</v>
      </c>
      <c r="K125" s="165">
        <v>3</v>
      </c>
      <c r="L125" s="165">
        <v>3.6</v>
      </c>
      <c r="M125" s="166">
        <v>17.8</v>
      </c>
      <c r="N125" s="165">
        <v>1</v>
      </c>
      <c r="O125" s="166">
        <v>8.5</v>
      </c>
      <c r="P125" s="166">
        <v>3.6</v>
      </c>
    </row>
    <row r="126" spans="1:16" x14ac:dyDescent="0.25">
      <c r="A126" s="165">
        <v>125</v>
      </c>
      <c r="B126" s="165">
        <v>0</v>
      </c>
      <c r="C126" s="165">
        <v>1</v>
      </c>
      <c r="D126" s="165">
        <v>0</v>
      </c>
      <c r="E126" s="165">
        <v>3</v>
      </c>
      <c r="F126" s="165">
        <v>200</v>
      </c>
      <c r="G126" s="166">
        <v>804</v>
      </c>
      <c r="H126" s="166">
        <v>0.4</v>
      </c>
      <c r="I126" s="166">
        <v>3.65</v>
      </c>
      <c r="J126" s="166">
        <v>2.85</v>
      </c>
      <c r="K126" s="165">
        <v>2</v>
      </c>
      <c r="L126" s="165">
        <v>2.4</v>
      </c>
      <c r="M126" s="166">
        <v>17.3</v>
      </c>
      <c r="N126" s="165">
        <v>1</v>
      </c>
      <c r="O126" s="166">
        <v>8.8000000000000007</v>
      </c>
      <c r="P126" s="166">
        <v>3.3</v>
      </c>
    </row>
    <row r="127" spans="1:16" x14ac:dyDescent="0.25">
      <c r="A127" s="165">
        <v>126</v>
      </c>
      <c r="B127" s="165">
        <v>0</v>
      </c>
      <c r="C127" s="165">
        <v>0</v>
      </c>
      <c r="D127" s="165">
        <v>1</v>
      </c>
      <c r="E127" s="165">
        <v>4.5</v>
      </c>
      <c r="F127" s="165">
        <v>240</v>
      </c>
      <c r="G127" s="166">
        <v>960</v>
      </c>
      <c r="H127" s="166">
        <v>0.60000000000000009</v>
      </c>
      <c r="I127" s="166">
        <v>3.8</v>
      </c>
      <c r="J127" s="166">
        <v>2.8</v>
      </c>
      <c r="K127" s="165">
        <v>3</v>
      </c>
      <c r="L127" s="165">
        <v>3.6</v>
      </c>
      <c r="M127" s="166">
        <v>17.8</v>
      </c>
      <c r="N127" s="165">
        <v>1</v>
      </c>
      <c r="O127" s="166">
        <v>7.15</v>
      </c>
      <c r="P127" s="166">
        <v>3.6</v>
      </c>
    </row>
    <row r="128" spans="1:16" x14ac:dyDescent="0.25">
      <c r="A128" s="165">
        <v>127</v>
      </c>
      <c r="B128" s="165">
        <v>1</v>
      </c>
      <c r="C128" s="165">
        <v>0</v>
      </c>
      <c r="D128" s="165">
        <v>0</v>
      </c>
      <c r="E128" s="165">
        <v>3.75</v>
      </c>
      <c r="F128" s="165">
        <v>200</v>
      </c>
      <c r="G128" s="166">
        <v>565</v>
      </c>
      <c r="H128" s="166">
        <v>0.5</v>
      </c>
      <c r="I128" s="166">
        <v>3.75</v>
      </c>
      <c r="J128" s="166">
        <v>2.75</v>
      </c>
      <c r="K128" s="165">
        <v>2.5</v>
      </c>
      <c r="L128" s="165">
        <v>2.9750000000000001</v>
      </c>
      <c r="M128" s="166">
        <v>18</v>
      </c>
      <c r="N128" s="165">
        <v>2</v>
      </c>
      <c r="O128" s="166">
        <v>8.3000000000000007</v>
      </c>
      <c r="P128" s="166">
        <v>3.6</v>
      </c>
    </row>
    <row r="129" spans="1:16" x14ac:dyDescent="0.25">
      <c r="A129" s="165">
        <v>128</v>
      </c>
      <c r="B129" s="165">
        <v>0</v>
      </c>
      <c r="C129" s="165">
        <v>1</v>
      </c>
      <c r="D129" s="165">
        <v>0</v>
      </c>
      <c r="E129" s="165">
        <v>3</v>
      </c>
      <c r="F129" s="165">
        <v>160</v>
      </c>
      <c r="G129" s="166">
        <v>827</v>
      </c>
      <c r="H129" s="166">
        <v>0.4</v>
      </c>
      <c r="I129" s="166">
        <v>3.65</v>
      </c>
      <c r="J129" s="166">
        <v>2.85</v>
      </c>
      <c r="K129" s="165">
        <v>2</v>
      </c>
      <c r="L129" s="165">
        <v>2.375</v>
      </c>
      <c r="M129" s="166">
        <v>19.100000000000001</v>
      </c>
      <c r="N129" s="165">
        <v>2</v>
      </c>
      <c r="O129" s="166">
        <v>6.65</v>
      </c>
      <c r="P129" s="166">
        <v>3.1</v>
      </c>
    </row>
    <row r="130" spans="1:16" x14ac:dyDescent="0.25">
      <c r="A130" s="165">
        <v>129</v>
      </c>
      <c r="B130" s="165">
        <v>0</v>
      </c>
      <c r="C130" s="165">
        <v>0</v>
      </c>
      <c r="D130" s="165">
        <v>1</v>
      </c>
      <c r="E130" s="165">
        <v>3.75</v>
      </c>
      <c r="F130" s="165">
        <v>250</v>
      </c>
      <c r="G130" s="166">
        <v>560</v>
      </c>
      <c r="H130" s="166">
        <v>0.5</v>
      </c>
      <c r="I130" s="166">
        <v>3.8</v>
      </c>
      <c r="J130" s="166">
        <v>2.8</v>
      </c>
      <c r="K130" s="165">
        <v>2.5</v>
      </c>
      <c r="L130" s="165">
        <v>2.9750000000000001</v>
      </c>
      <c r="M130" s="166">
        <v>19.899999999999999</v>
      </c>
      <c r="N130" s="165">
        <v>2</v>
      </c>
      <c r="O130" s="166">
        <v>8.8000000000000007</v>
      </c>
      <c r="P130" s="166">
        <v>3.4</v>
      </c>
    </row>
    <row r="131" spans="1:16" x14ac:dyDescent="0.25">
      <c r="A131" s="165">
        <v>130</v>
      </c>
      <c r="B131" s="165">
        <v>1</v>
      </c>
      <c r="C131" s="165">
        <v>0</v>
      </c>
      <c r="D131" s="165">
        <v>0</v>
      </c>
      <c r="E131" s="165">
        <v>4.5</v>
      </c>
      <c r="F131" s="165">
        <v>300</v>
      </c>
      <c r="G131" s="166">
        <v>1060</v>
      </c>
      <c r="H131" s="166">
        <v>0.60000000000000009</v>
      </c>
      <c r="I131" s="166">
        <v>3.75</v>
      </c>
      <c r="J131" s="166">
        <v>2.75</v>
      </c>
      <c r="K131" s="165">
        <v>3</v>
      </c>
      <c r="L131" s="165">
        <v>3.5750000000000002</v>
      </c>
      <c r="M131" s="166">
        <v>18.5</v>
      </c>
      <c r="N131" s="165">
        <v>2</v>
      </c>
      <c r="O131" s="166">
        <v>8.8000000000000007</v>
      </c>
      <c r="P131" s="166">
        <v>3.9</v>
      </c>
    </row>
    <row r="132" spans="1:16" x14ac:dyDescent="0.25">
      <c r="A132" s="165">
        <v>131</v>
      </c>
      <c r="B132" s="165">
        <v>0</v>
      </c>
      <c r="C132" s="165">
        <v>1</v>
      </c>
      <c r="D132" s="165">
        <v>0</v>
      </c>
      <c r="E132" s="165">
        <v>3</v>
      </c>
      <c r="F132" s="165">
        <v>200</v>
      </c>
      <c r="G132" s="166">
        <v>804</v>
      </c>
      <c r="H132" s="166">
        <v>0.4</v>
      </c>
      <c r="I132" s="166">
        <v>3.65</v>
      </c>
      <c r="J132" s="166">
        <v>2.85</v>
      </c>
      <c r="K132" s="165">
        <v>2</v>
      </c>
      <c r="L132" s="165">
        <v>2.375</v>
      </c>
      <c r="M132" s="166">
        <v>18.3</v>
      </c>
      <c r="N132" s="165">
        <v>2</v>
      </c>
      <c r="O132" s="166">
        <v>8.9</v>
      </c>
      <c r="P132" s="166">
        <v>3.3</v>
      </c>
    </row>
    <row r="133" spans="1:16" x14ac:dyDescent="0.25">
      <c r="A133" s="165">
        <v>132</v>
      </c>
      <c r="B133" s="165">
        <v>0</v>
      </c>
      <c r="C133" s="165">
        <v>0</v>
      </c>
      <c r="D133" s="165">
        <v>1</v>
      </c>
      <c r="E133" s="165">
        <v>4.5</v>
      </c>
      <c r="F133" s="165">
        <v>240</v>
      </c>
      <c r="G133" s="166">
        <v>960</v>
      </c>
      <c r="H133" s="166">
        <v>0.60000000000000009</v>
      </c>
      <c r="I133" s="166">
        <v>3.8</v>
      </c>
      <c r="J133" s="166">
        <v>2.8</v>
      </c>
      <c r="K133" s="165">
        <v>3</v>
      </c>
      <c r="L133" s="165">
        <v>3.5750000000000002</v>
      </c>
      <c r="M133" s="166">
        <v>18.399999999999999</v>
      </c>
      <c r="N133" s="165">
        <v>2</v>
      </c>
      <c r="O133" s="166">
        <v>7.25</v>
      </c>
      <c r="P133" s="166">
        <v>3.6</v>
      </c>
    </row>
    <row r="134" spans="1:16" x14ac:dyDescent="0.25">
      <c r="A134" s="165">
        <v>133</v>
      </c>
      <c r="B134" s="165">
        <v>1</v>
      </c>
      <c r="C134" s="165">
        <v>0</v>
      </c>
      <c r="D134" s="165">
        <v>0</v>
      </c>
      <c r="E134" s="165">
        <v>3.75</v>
      </c>
      <c r="F134" s="165">
        <v>200</v>
      </c>
      <c r="G134" s="166">
        <v>565</v>
      </c>
      <c r="H134" s="166">
        <v>0.5</v>
      </c>
      <c r="I134" s="166">
        <v>3.75</v>
      </c>
      <c r="J134" s="166">
        <v>2.75</v>
      </c>
      <c r="K134" s="165">
        <v>2.5</v>
      </c>
      <c r="L134" s="165">
        <v>2.95</v>
      </c>
      <c r="M134" s="166">
        <v>18.3</v>
      </c>
      <c r="N134" s="165">
        <v>3</v>
      </c>
      <c r="O134" s="166">
        <v>8.1999999999999993</v>
      </c>
      <c r="P134" s="166">
        <v>3.4</v>
      </c>
    </row>
    <row r="135" spans="1:16" x14ac:dyDescent="0.25">
      <c r="A135" s="165">
        <v>134</v>
      </c>
      <c r="B135" s="165">
        <v>0</v>
      </c>
      <c r="C135" s="165">
        <v>1</v>
      </c>
      <c r="D135" s="165">
        <v>0</v>
      </c>
      <c r="E135" s="165">
        <v>3</v>
      </c>
      <c r="F135" s="165">
        <v>160</v>
      </c>
      <c r="G135" s="166">
        <v>827</v>
      </c>
      <c r="H135" s="166">
        <v>0.4</v>
      </c>
      <c r="I135" s="166">
        <v>3.65</v>
      </c>
      <c r="J135" s="166">
        <v>2.85</v>
      </c>
      <c r="K135" s="165">
        <v>2</v>
      </c>
      <c r="L135" s="165">
        <v>2.35</v>
      </c>
      <c r="M135" s="166">
        <v>19.8</v>
      </c>
      <c r="N135" s="165">
        <v>3</v>
      </c>
      <c r="O135" s="166">
        <v>6.5</v>
      </c>
      <c r="P135" s="166">
        <v>3</v>
      </c>
    </row>
    <row r="136" spans="1:16" x14ac:dyDescent="0.25">
      <c r="A136" s="165">
        <v>135</v>
      </c>
      <c r="B136" s="165">
        <v>0</v>
      </c>
      <c r="C136" s="165">
        <v>0</v>
      </c>
      <c r="D136" s="165">
        <v>1</v>
      </c>
      <c r="E136" s="165">
        <v>3.75</v>
      </c>
      <c r="F136" s="165">
        <v>250</v>
      </c>
      <c r="G136" s="166">
        <v>560</v>
      </c>
      <c r="H136" s="166">
        <v>0.5</v>
      </c>
      <c r="I136" s="166">
        <v>3.8</v>
      </c>
      <c r="J136" s="166">
        <v>2.8</v>
      </c>
      <c r="K136" s="165">
        <v>2.5</v>
      </c>
      <c r="L136" s="165">
        <v>2.95</v>
      </c>
      <c r="M136" s="166">
        <v>20.9</v>
      </c>
      <c r="N136" s="165">
        <v>3</v>
      </c>
      <c r="O136" s="166">
        <v>8.75</v>
      </c>
      <c r="P136" s="166">
        <v>3.3</v>
      </c>
    </row>
    <row r="137" spans="1:16" x14ac:dyDescent="0.25">
      <c r="A137" s="165">
        <v>136</v>
      </c>
      <c r="B137" s="165">
        <v>1</v>
      </c>
      <c r="C137" s="165">
        <v>0</v>
      </c>
      <c r="D137" s="165">
        <v>0</v>
      </c>
      <c r="E137" s="165">
        <v>4.5</v>
      </c>
      <c r="F137" s="165">
        <v>300</v>
      </c>
      <c r="G137" s="166">
        <v>1060</v>
      </c>
      <c r="H137" s="166">
        <v>0.60000000000000009</v>
      </c>
      <c r="I137" s="166">
        <v>3.75</v>
      </c>
      <c r="J137" s="166">
        <v>2.75</v>
      </c>
      <c r="K137" s="165">
        <v>3</v>
      </c>
      <c r="L137" s="165">
        <v>3.5500000000000003</v>
      </c>
      <c r="M137" s="166">
        <v>19.600000000000001</v>
      </c>
      <c r="N137" s="165">
        <v>3</v>
      </c>
      <c r="O137" s="166">
        <v>8.9</v>
      </c>
      <c r="P137" s="166">
        <v>3.7</v>
      </c>
    </row>
    <row r="138" spans="1:16" x14ac:dyDescent="0.25">
      <c r="A138" s="165">
        <v>137</v>
      </c>
      <c r="B138" s="165">
        <v>0</v>
      </c>
      <c r="C138" s="165">
        <v>1</v>
      </c>
      <c r="D138" s="165">
        <v>0</v>
      </c>
      <c r="E138" s="165">
        <v>3</v>
      </c>
      <c r="F138" s="165">
        <v>200</v>
      </c>
      <c r="G138" s="166">
        <v>804</v>
      </c>
      <c r="H138" s="166">
        <v>0.4</v>
      </c>
      <c r="I138" s="166">
        <v>3.65</v>
      </c>
      <c r="J138" s="166">
        <v>2.85</v>
      </c>
      <c r="K138" s="165">
        <v>2</v>
      </c>
      <c r="L138" s="165">
        <v>2.35</v>
      </c>
      <c r="M138" s="166">
        <v>18.899999999999999</v>
      </c>
      <c r="N138" s="165">
        <v>3</v>
      </c>
      <c r="O138" s="166">
        <v>8.9</v>
      </c>
      <c r="P138" s="166">
        <v>3.3</v>
      </c>
    </row>
    <row r="139" spans="1:16" x14ac:dyDescent="0.25">
      <c r="A139" s="165">
        <v>138</v>
      </c>
      <c r="B139" s="165">
        <v>0</v>
      </c>
      <c r="C139" s="165">
        <v>0</v>
      </c>
      <c r="D139" s="165">
        <v>1</v>
      </c>
      <c r="E139" s="165">
        <v>4.5</v>
      </c>
      <c r="F139" s="165">
        <v>240</v>
      </c>
      <c r="G139" s="166">
        <v>960</v>
      </c>
      <c r="H139" s="166">
        <v>0.60000000000000009</v>
      </c>
      <c r="I139" s="166">
        <v>3.8</v>
      </c>
      <c r="J139" s="166">
        <v>2.8</v>
      </c>
      <c r="K139" s="165">
        <v>3</v>
      </c>
      <c r="L139" s="165">
        <v>3.5500000000000003</v>
      </c>
      <c r="M139" s="166">
        <v>19.3</v>
      </c>
      <c r="N139" s="165">
        <v>3</v>
      </c>
      <c r="O139" s="166">
        <v>7.3</v>
      </c>
      <c r="P139" s="166">
        <v>3.5</v>
      </c>
    </row>
    <row r="140" spans="1:16" x14ac:dyDescent="0.25">
      <c r="A140" s="165">
        <v>139</v>
      </c>
      <c r="B140" s="165">
        <v>1</v>
      </c>
      <c r="C140" s="165">
        <v>0</v>
      </c>
      <c r="D140" s="165">
        <v>0</v>
      </c>
      <c r="E140" s="165">
        <v>3.75</v>
      </c>
      <c r="F140" s="165">
        <v>200</v>
      </c>
      <c r="G140" s="166">
        <v>565</v>
      </c>
      <c r="H140" s="166">
        <v>0.5</v>
      </c>
      <c r="I140" s="166">
        <v>3.75</v>
      </c>
      <c r="J140" s="166">
        <v>2.75</v>
      </c>
      <c r="K140" s="165">
        <v>2.5</v>
      </c>
      <c r="L140" s="165">
        <v>2.9250000000000003</v>
      </c>
      <c r="M140" s="166">
        <v>18.7</v>
      </c>
      <c r="N140" s="165">
        <v>4</v>
      </c>
      <c r="O140" s="166">
        <v>8.1999999999999993</v>
      </c>
      <c r="P140" s="166">
        <v>3.4</v>
      </c>
    </row>
    <row r="141" spans="1:16" x14ac:dyDescent="0.25">
      <c r="A141" s="165">
        <v>140</v>
      </c>
      <c r="B141" s="165">
        <v>0</v>
      </c>
      <c r="C141" s="165">
        <v>1</v>
      </c>
      <c r="D141" s="165">
        <v>0</v>
      </c>
      <c r="E141" s="165">
        <v>3</v>
      </c>
      <c r="F141" s="165">
        <v>160</v>
      </c>
      <c r="G141" s="166">
        <v>827</v>
      </c>
      <c r="H141" s="166">
        <v>0.4</v>
      </c>
      <c r="I141" s="166">
        <v>3.65</v>
      </c>
      <c r="J141" s="166">
        <v>2.85</v>
      </c>
      <c r="K141" s="165">
        <v>2</v>
      </c>
      <c r="L141" s="165">
        <v>2.3250000000000002</v>
      </c>
      <c r="M141" s="166">
        <v>20.5</v>
      </c>
      <c r="N141" s="165">
        <v>4</v>
      </c>
      <c r="O141" s="166">
        <v>6.3</v>
      </c>
      <c r="P141" s="166">
        <v>2.9</v>
      </c>
    </row>
    <row r="142" spans="1:16" x14ac:dyDescent="0.25">
      <c r="A142" s="165">
        <v>141</v>
      </c>
      <c r="B142" s="165">
        <v>0</v>
      </c>
      <c r="C142" s="165">
        <v>0</v>
      </c>
      <c r="D142" s="165">
        <v>1</v>
      </c>
      <c r="E142" s="165">
        <v>3.75</v>
      </c>
      <c r="F142" s="165">
        <v>250</v>
      </c>
      <c r="G142" s="166">
        <v>560</v>
      </c>
      <c r="H142" s="166">
        <v>0.5</v>
      </c>
      <c r="I142" s="166">
        <v>3.8</v>
      </c>
      <c r="J142" s="166">
        <v>2.8</v>
      </c>
      <c r="K142" s="165">
        <v>2.5</v>
      </c>
      <c r="L142" s="165">
        <v>2.9250000000000003</v>
      </c>
      <c r="M142" s="166">
        <v>21.3</v>
      </c>
      <c r="N142" s="165">
        <v>4</v>
      </c>
      <c r="O142" s="166">
        <v>8.6999999999999993</v>
      </c>
      <c r="P142" s="166">
        <v>3.3</v>
      </c>
    </row>
    <row r="143" spans="1:16" x14ac:dyDescent="0.25">
      <c r="A143" s="165">
        <v>142</v>
      </c>
      <c r="B143" s="165">
        <v>1</v>
      </c>
      <c r="C143" s="165">
        <v>0</v>
      </c>
      <c r="D143" s="165">
        <v>0</v>
      </c>
      <c r="E143" s="165">
        <v>4.5</v>
      </c>
      <c r="F143" s="165">
        <v>300</v>
      </c>
      <c r="G143" s="166">
        <v>1060</v>
      </c>
      <c r="H143" s="166">
        <v>0.60000000000000009</v>
      </c>
      <c r="I143" s="166">
        <v>3.75</v>
      </c>
      <c r="J143" s="166">
        <v>2.75</v>
      </c>
      <c r="K143" s="165">
        <v>3</v>
      </c>
      <c r="L143" s="165">
        <v>3.5250000000000004</v>
      </c>
      <c r="M143" s="166">
        <v>19.2</v>
      </c>
      <c r="N143" s="165">
        <v>4</v>
      </c>
      <c r="O143" s="166">
        <v>8.9</v>
      </c>
      <c r="P143" s="166">
        <v>3.6</v>
      </c>
    </row>
    <row r="144" spans="1:16" x14ac:dyDescent="0.25">
      <c r="A144" s="165">
        <v>143</v>
      </c>
      <c r="B144" s="165">
        <v>0</v>
      </c>
      <c r="C144" s="165">
        <v>1</v>
      </c>
      <c r="D144" s="165">
        <v>0</v>
      </c>
      <c r="E144" s="165">
        <v>3</v>
      </c>
      <c r="F144" s="165">
        <v>200</v>
      </c>
      <c r="G144" s="166">
        <v>804</v>
      </c>
      <c r="H144" s="166">
        <v>0.4</v>
      </c>
      <c r="I144" s="166">
        <v>3.65</v>
      </c>
      <c r="J144" s="166">
        <v>2.85</v>
      </c>
      <c r="K144" s="165">
        <v>2</v>
      </c>
      <c r="L144" s="165">
        <v>2.3250000000000002</v>
      </c>
      <c r="M144" s="166">
        <v>19.3</v>
      </c>
      <c r="N144" s="165">
        <v>4</v>
      </c>
      <c r="O144" s="166">
        <v>8.9</v>
      </c>
      <c r="P144" s="166">
        <v>3.2</v>
      </c>
    </row>
    <row r="145" spans="1:16" x14ac:dyDescent="0.25">
      <c r="A145" s="165">
        <v>144</v>
      </c>
      <c r="B145" s="165">
        <v>0</v>
      </c>
      <c r="C145" s="165">
        <v>0</v>
      </c>
      <c r="D145" s="165">
        <v>1</v>
      </c>
      <c r="E145" s="165">
        <v>4.5</v>
      </c>
      <c r="F145" s="165">
        <v>240</v>
      </c>
      <c r="G145" s="166">
        <v>960</v>
      </c>
      <c r="H145" s="166">
        <v>0.60000000000000009</v>
      </c>
      <c r="I145" s="166">
        <v>3.8</v>
      </c>
      <c r="J145" s="166">
        <v>2.8</v>
      </c>
      <c r="K145" s="165">
        <v>3</v>
      </c>
      <c r="L145" s="165">
        <v>3.5250000000000004</v>
      </c>
      <c r="M145" s="166">
        <v>20.100000000000001</v>
      </c>
      <c r="N145" s="165">
        <v>4</v>
      </c>
      <c r="O145" s="166">
        <v>7.2</v>
      </c>
      <c r="P145" s="166">
        <v>3.4</v>
      </c>
    </row>
    <row r="146" spans="1:16" x14ac:dyDescent="0.25">
      <c r="A146" s="165">
        <v>145</v>
      </c>
      <c r="B146" s="165">
        <v>1</v>
      </c>
      <c r="C146" s="165">
        <v>0</v>
      </c>
      <c r="D146" s="165">
        <v>0</v>
      </c>
      <c r="E146" s="165">
        <v>3.75</v>
      </c>
      <c r="F146" s="165">
        <v>200</v>
      </c>
      <c r="G146" s="166">
        <v>565</v>
      </c>
      <c r="H146" s="166">
        <v>0.5</v>
      </c>
      <c r="I146" s="166">
        <v>3.75</v>
      </c>
      <c r="J146" s="166">
        <v>2.75</v>
      </c>
      <c r="K146" s="165">
        <v>2.5</v>
      </c>
      <c r="L146" s="165">
        <v>2.9000000000000004</v>
      </c>
      <c r="M146" s="166">
        <v>18.600000000000001</v>
      </c>
      <c r="N146" s="165">
        <v>5</v>
      </c>
      <c r="O146" s="166">
        <v>8</v>
      </c>
      <c r="P146" s="166">
        <v>3.3</v>
      </c>
    </row>
    <row r="147" spans="1:16" x14ac:dyDescent="0.25">
      <c r="A147" s="165">
        <v>146</v>
      </c>
      <c r="B147" s="165">
        <v>0</v>
      </c>
      <c r="C147" s="165">
        <v>1</v>
      </c>
      <c r="D147" s="165">
        <v>0</v>
      </c>
      <c r="E147" s="165">
        <v>3</v>
      </c>
      <c r="F147" s="165">
        <v>160</v>
      </c>
      <c r="G147" s="166">
        <v>827</v>
      </c>
      <c r="H147" s="166">
        <v>0.4</v>
      </c>
      <c r="I147" s="166">
        <v>3.65</v>
      </c>
      <c r="J147" s="166">
        <v>2.85</v>
      </c>
      <c r="K147" s="165">
        <v>2</v>
      </c>
      <c r="L147" s="165">
        <v>2.3000000000000003</v>
      </c>
      <c r="M147" s="166">
        <v>20.2</v>
      </c>
      <c r="N147" s="165">
        <v>5</v>
      </c>
      <c r="O147" s="166">
        <v>6.1</v>
      </c>
      <c r="P147" s="166">
        <v>2.8</v>
      </c>
    </row>
    <row r="148" spans="1:16" x14ac:dyDescent="0.25">
      <c r="A148" s="165">
        <v>147</v>
      </c>
      <c r="B148" s="165">
        <v>0</v>
      </c>
      <c r="C148" s="165">
        <v>0</v>
      </c>
      <c r="D148" s="165">
        <v>1</v>
      </c>
      <c r="E148" s="165">
        <v>3.75</v>
      </c>
      <c r="F148" s="165">
        <v>250</v>
      </c>
      <c r="G148" s="166">
        <v>560</v>
      </c>
      <c r="H148" s="166">
        <v>0.5</v>
      </c>
      <c r="I148" s="166">
        <v>3.8</v>
      </c>
      <c r="J148" s="166">
        <v>2.8</v>
      </c>
      <c r="K148" s="165">
        <v>2.5</v>
      </c>
      <c r="L148" s="165">
        <v>2.9000000000000004</v>
      </c>
      <c r="M148" s="166">
        <v>20.399999999999999</v>
      </c>
      <c r="N148" s="165">
        <v>5</v>
      </c>
      <c r="O148" s="166">
        <v>8.5</v>
      </c>
      <c r="P148" s="166">
        <v>3.1</v>
      </c>
    </row>
    <row r="149" spans="1:16" x14ac:dyDescent="0.25">
      <c r="A149" s="165">
        <v>148</v>
      </c>
      <c r="B149" s="165">
        <v>1</v>
      </c>
      <c r="C149" s="165">
        <v>0</v>
      </c>
      <c r="D149" s="165">
        <v>0</v>
      </c>
      <c r="E149" s="165">
        <v>4.5</v>
      </c>
      <c r="F149" s="165">
        <v>300</v>
      </c>
      <c r="G149" s="166">
        <v>1060</v>
      </c>
      <c r="H149" s="166">
        <v>0.60000000000000009</v>
      </c>
      <c r="I149" s="166">
        <v>3.75</v>
      </c>
      <c r="J149" s="166">
        <v>2.75</v>
      </c>
      <c r="K149" s="165">
        <v>3</v>
      </c>
      <c r="L149" s="165">
        <v>3.5000000000000004</v>
      </c>
      <c r="M149" s="166">
        <v>19.100000000000001</v>
      </c>
      <c r="N149" s="165">
        <v>5</v>
      </c>
      <c r="O149" s="166">
        <v>8.75</v>
      </c>
      <c r="P149" s="166">
        <v>3.5</v>
      </c>
    </row>
    <row r="150" spans="1:16" x14ac:dyDescent="0.25">
      <c r="A150" s="165">
        <v>149</v>
      </c>
      <c r="B150" s="165">
        <v>0</v>
      </c>
      <c r="C150" s="165">
        <v>1</v>
      </c>
      <c r="D150" s="165">
        <v>0</v>
      </c>
      <c r="E150" s="165">
        <v>3</v>
      </c>
      <c r="F150" s="165">
        <v>200</v>
      </c>
      <c r="G150" s="166">
        <v>804</v>
      </c>
      <c r="H150" s="166">
        <v>0.4</v>
      </c>
      <c r="I150" s="166">
        <v>3.65</v>
      </c>
      <c r="J150" s="166">
        <v>2.85</v>
      </c>
      <c r="K150" s="165">
        <v>2</v>
      </c>
      <c r="L150" s="165">
        <v>2.3000000000000003</v>
      </c>
      <c r="M150" s="166">
        <v>19.100000000000001</v>
      </c>
      <c r="N150" s="165">
        <v>5</v>
      </c>
      <c r="O150" s="166">
        <v>8.6999999999999993</v>
      </c>
      <c r="P150" s="166">
        <v>3.1</v>
      </c>
    </row>
    <row r="151" spans="1:16" x14ac:dyDescent="0.25">
      <c r="A151" s="165">
        <v>150</v>
      </c>
      <c r="B151" s="165">
        <v>0</v>
      </c>
      <c r="C151" s="165">
        <v>0</v>
      </c>
      <c r="D151" s="165">
        <v>1</v>
      </c>
      <c r="E151" s="165">
        <v>4.5</v>
      </c>
      <c r="F151" s="165">
        <v>240</v>
      </c>
      <c r="G151" s="166">
        <v>960</v>
      </c>
      <c r="H151" s="166">
        <v>0.60000000000000009</v>
      </c>
      <c r="I151" s="166">
        <v>3.8</v>
      </c>
      <c r="J151" s="166">
        <v>2.8</v>
      </c>
      <c r="K151" s="165">
        <v>3</v>
      </c>
      <c r="L151" s="165">
        <v>3.5000000000000004</v>
      </c>
      <c r="M151" s="166">
        <v>19.5</v>
      </c>
      <c r="N151" s="165">
        <v>5</v>
      </c>
      <c r="O151" s="166">
        <v>7</v>
      </c>
      <c r="P151" s="166">
        <v>3.3</v>
      </c>
    </row>
    <row r="152" spans="1:16" x14ac:dyDescent="0.25">
      <c r="A152" s="165">
        <v>151</v>
      </c>
      <c r="B152" s="165">
        <v>1</v>
      </c>
      <c r="C152" s="165">
        <v>0</v>
      </c>
      <c r="D152" s="165">
        <v>0</v>
      </c>
      <c r="E152" s="165">
        <v>3.75</v>
      </c>
      <c r="F152" s="165">
        <v>200</v>
      </c>
      <c r="G152" s="166">
        <v>565</v>
      </c>
      <c r="H152" s="166">
        <v>0.5</v>
      </c>
      <c r="I152" s="166">
        <v>3.75</v>
      </c>
      <c r="J152" s="166">
        <v>2.75</v>
      </c>
      <c r="K152" s="165">
        <v>2.5</v>
      </c>
      <c r="L152" s="165">
        <v>2.8750000000000004</v>
      </c>
      <c r="M152" s="166">
        <v>19.5</v>
      </c>
      <c r="N152" s="165">
        <v>6</v>
      </c>
      <c r="O152" s="166">
        <v>8</v>
      </c>
      <c r="P152" s="166">
        <v>3.3</v>
      </c>
    </row>
    <row r="153" spans="1:16" x14ac:dyDescent="0.25">
      <c r="A153" s="165">
        <v>152</v>
      </c>
      <c r="B153" s="165">
        <v>0</v>
      </c>
      <c r="C153" s="165">
        <v>1</v>
      </c>
      <c r="D153" s="165">
        <v>0</v>
      </c>
      <c r="E153" s="165">
        <v>3</v>
      </c>
      <c r="F153" s="165">
        <v>160</v>
      </c>
      <c r="G153" s="166">
        <v>827</v>
      </c>
      <c r="H153" s="166">
        <v>0.4</v>
      </c>
      <c r="I153" s="166">
        <v>3.65</v>
      </c>
      <c r="J153" s="166">
        <v>2.85</v>
      </c>
      <c r="K153" s="165">
        <v>2</v>
      </c>
      <c r="L153" s="165">
        <v>2.2750000000000004</v>
      </c>
      <c r="M153" s="166">
        <v>20.6</v>
      </c>
      <c r="N153" s="165">
        <v>6</v>
      </c>
      <c r="O153" s="166">
        <v>6.05</v>
      </c>
      <c r="P153" s="166">
        <v>2.8</v>
      </c>
    </row>
    <row r="154" spans="1:16" x14ac:dyDescent="0.25">
      <c r="A154" s="165">
        <v>153</v>
      </c>
      <c r="B154" s="165">
        <v>0</v>
      </c>
      <c r="C154" s="165">
        <v>0</v>
      </c>
      <c r="D154" s="165">
        <v>1</v>
      </c>
      <c r="E154" s="165">
        <v>3.75</v>
      </c>
      <c r="F154" s="165">
        <v>250</v>
      </c>
      <c r="G154" s="166">
        <v>560</v>
      </c>
      <c r="H154" s="166">
        <v>0.5</v>
      </c>
      <c r="I154" s="166">
        <v>3.8</v>
      </c>
      <c r="J154" s="166">
        <v>2.8</v>
      </c>
      <c r="K154" s="165">
        <v>2.5</v>
      </c>
      <c r="L154" s="165">
        <v>2.8750000000000004</v>
      </c>
      <c r="M154" s="166">
        <v>20.9</v>
      </c>
      <c r="N154" s="165">
        <v>6</v>
      </c>
      <c r="O154" s="166">
        <v>8.4</v>
      </c>
      <c r="P154" s="166">
        <v>3.1</v>
      </c>
    </row>
    <row r="155" spans="1:16" x14ac:dyDescent="0.25">
      <c r="A155" s="165">
        <v>154</v>
      </c>
      <c r="B155" s="165">
        <v>1</v>
      </c>
      <c r="C155" s="165">
        <v>0</v>
      </c>
      <c r="D155" s="165">
        <v>0</v>
      </c>
      <c r="E155" s="165">
        <v>4.5</v>
      </c>
      <c r="F155" s="165">
        <v>300</v>
      </c>
      <c r="G155" s="166">
        <v>1060</v>
      </c>
      <c r="H155" s="166">
        <v>0.60000000000000009</v>
      </c>
      <c r="I155" s="166">
        <v>3.75</v>
      </c>
      <c r="J155" s="166">
        <v>2.75</v>
      </c>
      <c r="K155" s="165">
        <v>3</v>
      </c>
      <c r="L155" s="165">
        <v>3.4750000000000005</v>
      </c>
      <c r="M155" s="166">
        <v>19.100000000000001</v>
      </c>
      <c r="N155" s="165">
        <v>6</v>
      </c>
      <c r="O155" s="166">
        <v>8.8000000000000007</v>
      </c>
      <c r="P155" s="166">
        <v>3.4</v>
      </c>
    </row>
    <row r="156" spans="1:16" x14ac:dyDescent="0.25">
      <c r="A156" s="165">
        <v>155</v>
      </c>
      <c r="B156" s="165">
        <v>0</v>
      </c>
      <c r="C156" s="165">
        <v>1</v>
      </c>
      <c r="D156" s="165">
        <v>0</v>
      </c>
      <c r="E156" s="165">
        <v>3</v>
      </c>
      <c r="F156" s="165">
        <v>200</v>
      </c>
      <c r="G156" s="166">
        <v>804</v>
      </c>
      <c r="H156" s="166">
        <v>0.4</v>
      </c>
      <c r="I156" s="166">
        <v>3.65</v>
      </c>
      <c r="J156" s="166">
        <v>2.85</v>
      </c>
      <c r="K156" s="165">
        <v>2</v>
      </c>
      <c r="L156" s="165">
        <v>2.2750000000000004</v>
      </c>
      <c r="M156" s="166">
        <v>19.600000000000001</v>
      </c>
      <c r="N156" s="165">
        <v>6</v>
      </c>
      <c r="O156" s="166">
        <v>8.65</v>
      </c>
      <c r="P156" s="166">
        <v>3.1</v>
      </c>
    </row>
    <row r="157" spans="1:16" x14ac:dyDescent="0.25">
      <c r="A157" s="165">
        <v>156</v>
      </c>
      <c r="B157" s="165">
        <v>0</v>
      </c>
      <c r="C157" s="165">
        <v>0</v>
      </c>
      <c r="D157" s="165">
        <v>1</v>
      </c>
      <c r="E157" s="165">
        <v>4.5</v>
      </c>
      <c r="F157" s="165">
        <v>240</v>
      </c>
      <c r="G157" s="166">
        <v>960</v>
      </c>
      <c r="H157" s="166">
        <v>0.60000000000000009</v>
      </c>
      <c r="I157" s="166">
        <v>3.8</v>
      </c>
      <c r="J157" s="166">
        <v>2.8</v>
      </c>
      <c r="K157" s="165">
        <v>3</v>
      </c>
      <c r="L157" s="165">
        <v>3.4750000000000005</v>
      </c>
      <c r="M157" s="166">
        <v>19.5</v>
      </c>
      <c r="N157" s="165">
        <v>6</v>
      </c>
      <c r="O157" s="166">
        <v>7</v>
      </c>
      <c r="P157" s="166">
        <v>3.3</v>
      </c>
    </row>
    <row r="158" spans="1:16" x14ac:dyDescent="0.25">
      <c r="A158" s="165">
        <v>157</v>
      </c>
      <c r="B158" s="165">
        <v>1</v>
      </c>
      <c r="C158" s="165">
        <v>0</v>
      </c>
      <c r="D158" s="165">
        <v>0</v>
      </c>
      <c r="E158" s="165">
        <v>3.75</v>
      </c>
      <c r="F158" s="165">
        <v>200</v>
      </c>
      <c r="G158" s="166">
        <v>565</v>
      </c>
      <c r="H158" s="166">
        <v>0.5</v>
      </c>
      <c r="I158" s="166">
        <v>3.75</v>
      </c>
      <c r="J158" s="166">
        <v>2.75</v>
      </c>
      <c r="K158" s="165">
        <v>2.5</v>
      </c>
      <c r="L158" s="165">
        <v>2.8500000000000005</v>
      </c>
      <c r="M158" s="166">
        <v>19.600000000000001</v>
      </c>
      <c r="N158" s="165">
        <v>7</v>
      </c>
      <c r="O158" s="166">
        <v>8</v>
      </c>
      <c r="P158" s="166">
        <v>3.2</v>
      </c>
    </row>
    <row r="159" spans="1:16" x14ac:dyDescent="0.25">
      <c r="A159" s="165">
        <v>158</v>
      </c>
      <c r="B159" s="165">
        <v>0</v>
      </c>
      <c r="C159" s="165">
        <v>1</v>
      </c>
      <c r="D159" s="165">
        <v>0</v>
      </c>
      <c r="E159" s="165">
        <v>3</v>
      </c>
      <c r="F159" s="165">
        <v>160</v>
      </c>
      <c r="G159" s="166">
        <v>827</v>
      </c>
      <c r="H159" s="166">
        <v>0.4</v>
      </c>
      <c r="I159" s="166">
        <v>3.65</v>
      </c>
      <c r="J159" s="166">
        <v>2.85</v>
      </c>
      <c r="K159" s="165">
        <v>2</v>
      </c>
      <c r="L159" s="165">
        <v>2.2500000000000004</v>
      </c>
      <c r="M159" s="166">
        <v>20.5</v>
      </c>
      <c r="N159" s="165">
        <v>7</v>
      </c>
      <c r="O159" s="166">
        <v>6.1</v>
      </c>
      <c r="P159" s="166">
        <v>2.75</v>
      </c>
    </row>
    <row r="160" spans="1:16" x14ac:dyDescent="0.25">
      <c r="A160" s="165">
        <v>159</v>
      </c>
      <c r="B160" s="165">
        <v>0</v>
      </c>
      <c r="C160" s="165">
        <v>0</v>
      </c>
      <c r="D160" s="165">
        <v>1</v>
      </c>
      <c r="E160" s="165">
        <v>3.75</v>
      </c>
      <c r="F160" s="165">
        <v>250</v>
      </c>
      <c r="G160" s="166">
        <v>560</v>
      </c>
      <c r="H160" s="166">
        <v>0.5</v>
      </c>
      <c r="I160" s="166">
        <v>3.8</v>
      </c>
      <c r="J160" s="166">
        <v>2.8</v>
      </c>
      <c r="K160" s="165">
        <v>2.5</v>
      </c>
      <c r="L160" s="165">
        <v>2.8500000000000005</v>
      </c>
      <c r="M160" s="166">
        <v>20.8</v>
      </c>
      <c r="N160" s="165">
        <v>7</v>
      </c>
      <c r="O160" s="166">
        <v>8.4</v>
      </c>
      <c r="P160" s="166">
        <v>3</v>
      </c>
    </row>
    <row r="161" spans="1:16" x14ac:dyDescent="0.25">
      <c r="A161" s="165">
        <v>160</v>
      </c>
      <c r="B161" s="165">
        <v>1</v>
      </c>
      <c r="C161" s="165">
        <v>0</v>
      </c>
      <c r="D161" s="165">
        <v>0</v>
      </c>
      <c r="E161" s="165">
        <v>4.5</v>
      </c>
      <c r="F161" s="165">
        <v>300</v>
      </c>
      <c r="G161" s="166">
        <v>1060</v>
      </c>
      <c r="H161" s="166">
        <v>0.60000000000000009</v>
      </c>
      <c r="I161" s="166">
        <v>3.75</v>
      </c>
      <c r="J161" s="166">
        <v>2.75</v>
      </c>
      <c r="K161" s="165">
        <v>3</v>
      </c>
      <c r="L161" s="165">
        <v>3.4500000000000006</v>
      </c>
      <c r="M161" s="166">
        <v>20</v>
      </c>
      <c r="N161" s="165">
        <v>7</v>
      </c>
      <c r="O161" s="166">
        <v>8.6</v>
      </c>
      <c r="P161" s="166">
        <v>3.4</v>
      </c>
    </row>
    <row r="162" spans="1:16" x14ac:dyDescent="0.25">
      <c r="A162" s="165">
        <v>161</v>
      </c>
      <c r="B162" s="165">
        <v>0</v>
      </c>
      <c r="C162" s="165">
        <v>1</v>
      </c>
      <c r="D162" s="165">
        <v>0</v>
      </c>
      <c r="E162" s="165">
        <v>3</v>
      </c>
      <c r="F162" s="165">
        <v>200</v>
      </c>
      <c r="G162" s="166">
        <v>804</v>
      </c>
      <c r="H162" s="166">
        <v>0.4</v>
      </c>
      <c r="I162" s="166">
        <v>3.65</v>
      </c>
      <c r="J162" s="166">
        <v>2.85</v>
      </c>
      <c r="K162" s="165">
        <v>2</v>
      </c>
      <c r="L162" s="165">
        <v>2.2500000000000004</v>
      </c>
      <c r="M162" s="166">
        <v>19.5</v>
      </c>
      <c r="N162" s="165">
        <v>7</v>
      </c>
      <c r="O162" s="166">
        <v>8.6</v>
      </c>
      <c r="P162" s="166">
        <v>3.1</v>
      </c>
    </row>
    <row r="163" spans="1:16" x14ac:dyDescent="0.25">
      <c r="A163" s="165">
        <v>162</v>
      </c>
      <c r="B163" s="165">
        <v>0</v>
      </c>
      <c r="C163" s="165">
        <v>0</v>
      </c>
      <c r="D163" s="165">
        <v>1</v>
      </c>
      <c r="E163" s="165">
        <v>4.5</v>
      </c>
      <c r="F163" s="165">
        <v>240</v>
      </c>
      <c r="G163" s="166">
        <v>960</v>
      </c>
      <c r="H163" s="166">
        <v>0.60000000000000009</v>
      </c>
      <c r="I163" s="166">
        <v>3.8</v>
      </c>
      <c r="J163" s="166">
        <v>2.8</v>
      </c>
      <c r="K163" s="165">
        <v>3</v>
      </c>
      <c r="L163" s="165">
        <v>3.4500000000000006</v>
      </c>
      <c r="M163" s="166">
        <v>19.899999999999999</v>
      </c>
      <c r="N163" s="165">
        <v>7</v>
      </c>
      <c r="O163" s="166">
        <v>6.6</v>
      </c>
      <c r="P163" s="166">
        <v>3.2</v>
      </c>
    </row>
    <row r="164" spans="1:16" x14ac:dyDescent="0.25">
      <c r="A164" s="165">
        <v>163</v>
      </c>
      <c r="B164" s="165">
        <v>1</v>
      </c>
      <c r="C164" s="165">
        <v>0</v>
      </c>
      <c r="D164" s="165">
        <v>0</v>
      </c>
      <c r="E164" s="165">
        <v>3.75</v>
      </c>
      <c r="F164" s="165">
        <v>200</v>
      </c>
      <c r="G164" s="166">
        <v>565</v>
      </c>
      <c r="H164" s="166">
        <v>0.5</v>
      </c>
      <c r="I164" s="166">
        <v>3.75</v>
      </c>
      <c r="J164" s="166">
        <v>2.75</v>
      </c>
      <c r="K164" s="165">
        <v>2.5</v>
      </c>
      <c r="L164" s="165">
        <v>2.8250000000000006</v>
      </c>
      <c r="M164" s="166">
        <v>19.8</v>
      </c>
      <c r="N164" s="165">
        <v>8</v>
      </c>
      <c r="O164" s="166">
        <v>7.8</v>
      </c>
      <c r="P164" s="166">
        <v>3.2</v>
      </c>
    </row>
    <row r="165" spans="1:16" x14ac:dyDescent="0.25">
      <c r="A165" s="165">
        <v>164</v>
      </c>
      <c r="B165" s="165">
        <v>0</v>
      </c>
      <c r="C165" s="165">
        <v>1</v>
      </c>
      <c r="D165" s="165">
        <v>0</v>
      </c>
      <c r="E165" s="165">
        <v>3</v>
      </c>
      <c r="F165" s="165">
        <v>160</v>
      </c>
      <c r="G165" s="166">
        <v>827</v>
      </c>
      <c r="H165" s="166">
        <v>0.4</v>
      </c>
      <c r="I165" s="166">
        <v>3.65</v>
      </c>
      <c r="J165" s="166">
        <v>2.85</v>
      </c>
      <c r="K165" s="165">
        <v>2</v>
      </c>
      <c r="L165" s="165">
        <v>2.2250000000000005</v>
      </c>
      <c r="M165" s="166">
        <v>20.9</v>
      </c>
      <c r="N165" s="165">
        <v>8</v>
      </c>
      <c r="O165" s="166">
        <v>6</v>
      </c>
      <c r="P165" s="166">
        <v>2.7</v>
      </c>
    </row>
    <row r="166" spans="1:16" x14ac:dyDescent="0.25">
      <c r="A166" s="165">
        <v>165</v>
      </c>
      <c r="B166" s="165">
        <v>0</v>
      </c>
      <c r="C166" s="165">
        <v>0</v>
      </c>
      <c r="D166" s="165">
        <v>1</v>
      </c>
      <c r="E166" s="165">
        <v>3.75</v>
      </c>
      <c r="F166" s="165">
        <v>250</v>
      </c>
      <c r="G166" s="166">
        <v>560</v>
      </c>
      <c r="H166" s="166">
        <v>0.5</v>
      </c>
      <c r="I166" s="166">
        <v>3.8</v>
      </c>
      <c r="J166" s="166">
        <v>2.8</v>
      </c>
      <c r="K166" s="165">
        <v>2.5</v>
      </c>
      <c r="L166" s="165">
        <v>2.8250000000000006</v>
      </c>
      <c r="M166" s="166">
        <v>20.9</v>
      </c>
      <c r="N166" s="165">
        <v>8</v>
      </c>
      <c r="O166" s="166">
        <v>8.3000000000000007</v>
      </c>
      <c r="P166" s="166">
        <v>2.9</v>
      </c>
    </row>
    <row r="167" spans="1:16" x14ac:dyDescent="0.25">
      <c r="A167" s="165">
        <v>166</v>
      </c>
      <c r="B167" s="165">
        <v>1</v>
      </c>
      <c r="C167" s="165">
        <v>0</v>
      </c>
      <c r="D167" s="165">
        <v>0</v>
      </c>
      <c r="E167" s="165">
        <v>4.5</v>
      </c>
      <c r="F167" s="165">
        <v>300</v>
      </c>
      <c r="G167" s="166">
        <v>1060</v>
      </c>
      <c r="H167" s="166">
        <v>0.60000000000000009</v>
      </c>
      <c r="I167" s="166">
        <v>3.75</v>
      </c>
      <c r="J167" s="166">
        <v>2.75</v>
      </c>
      <c r="K167" s="165">
        <v>3</v>
      </c>
      <c r="L167" s="165">
        <v>3.4250000000000007</v>
      </c>
      <c r="M167" s="166">
        <v>20.5</v>
      </c>
      <c r="N167" s="165">
        <v>8</v>
      </c>
      <c r="O167" s="166">
        <v>8.6</v>
      </c>
      <c r="P167" s="166">
        <v>3.3</v>
      </c>
    </row>
    <row r="168" spans="1:16" x14ac:dyDescent="0.25">
      <c r="A168" s="165">
        <v>167</v>
      </c>
      <c r="B168" s="165">
        <v>0</v>
      </c>
      <c r="C168" s="165">
        <v>1</v>
      </c>
      <c r="D168" s="165">
        <v>0</v>
      </c>
      <c r="E168" s="165">
        <v>3</v>
      </c>
      <c r="F168" s="165">
        <v>200</v>
      </c>
      <c r="G168" s="166">
        <v>804</v>
      </c>
      <c r="H168" s="166">
        <v>0.4</v>
      </c>
      <c r="I168" s="166">
        <v>3.65</v>
      </c>
      <c r="J168" s="166">
        <v>2.85</v>
      </c>
      <c r="K168" s="165">
        <v>2</v>
      </c>
      <c r="L168" s="165">
        <v>2.2250000000000005</v>
      </c>
      <c r="M168" s="166">
        <v>20</v>
      </c>
      <c r="N168" s="165">
        <v>8</v>
      </c>
      <c r="O168" s="166">
        <v>8.4</v>
      </c>
      <c r="P168" s="166">
        <v>3</v>
      </c>
    </row>
    <row r="169" spans="1:16" x14ac:dyDescent="0.25">
      <c r="A169" s="165">
        <v>168</v>
      </c>
      <c r="B169" s="165">
        <v>0</v>
      </c>
      <c r="C169" s="165">
        <v>0</v>
      </c>
      <c r="D169" s="165">
        <v>1</v>
      </c>
      <c r="E169" s="165">
        <v>4.5</v>
      </c>
      <c r="F169" s="165">
        <v>240</v>
      </c>
      <c r="G169" s="166">
        <v>960</v>
      </c>
      <c r="H169" s="166">
        <v>0.60000000000000009</v>
      </c>
      <c r="I169" s="166">
        <v>3.8</v>
      </c>
      <c r="J169" s="166">
        <v>2.8</v>
      </c>
      <c r="K169" s="165">
        <v>3</v>
      </c>
      <c r="L169" s="165">
        <v>3.4250000000000007</v>
      </c>
      <c r="M169" s="166">
        <v>20.399999999999999</v>
      </c>
      <c r="N169" s="165">
        <v>8</v>
      </c>
      <c r="O169" s="166">
        <v>6.35</v>
      </c>
      <c r="P169" s="166">
        <v>3</v>
      </c>
    </row>
    <row r="170" spans="1:16" x14ac:dyDescent="0.25">
      <c r="A170" s="165">
        <v>169</v>
      </c>
      <c r="B170" s="165">
        <v>1</v>
      </c>
      <c r="C170" s="165">
        <v>0</v>
      </c>
      <c r="D170" s="165">
        <v>0</v>
      </c>
      <c r="E170" s="165">
        <v>3.75</v>
      </c>
      <c r="F170" s="165">
        <v>200</v>
      </c>
      <c r="G170" s="166">
        <v>565</v>
      </c>
      <c r="H170" s="166">
        <v>0.5</v>
      </c>
      <c r="I170" s="166">
        <v>3.75</v>
      </c>
      <c r="J170" s="166">
        <v>2.75</v>
      </c>
      <c r="K170" s="165">
        <v>2.5</v>
      </c>
      <c r="L170" s="165">
        <v>2.8000000000000007</v>
      </c>
      <c r="M170" s="166">
        <v>19.8</v>
      </c>
      <c r="N170" s="165">
        <v>9</v>
      </c>
      <c r="O170" s="166">
        <v>7.85</v>
      </c>
      <c r="P170" s="166">
        <v>3.1</v>
      </c>
    </row>
    <row r="171" spans="1:16" x14ac:dyDescent="0.25">
      <c r="A171" s="165">
        <v>170</v>
      </c>
      <c r="B171" s="165">
        <v>0</v>
      </c>
      <c r="C171" s="165">
        <v>1</v>
      </c>
      <c r="D171" s="165">
        <v>0</v>
      </c>
      <c r="E171" s="165">
        <v>3</v>
      </c>
      <c r="F171" s="165">
        <v>160</v>
      </c>
      <c r="G171" s="166">
        <v>827</v>
      </c>
      <c r="H171" s="166">
        <v>0.4</v>
      </c>
      <c r="I171" s="166">
        <v>3.65</v>
      </c>
      <c r="J171" s="166">
        <v>2.85</v>
      </c>
      <c r="K171" s="165">
        <v>2</v>
      </c>
      <c r="L171" s="165">
        <v>2.2000000000000006</v>
      </c>
      <c r="M171" s="166">
        <v>20.9</v>
      </c>
      <c r="N171" s="165">
        <v>9</v>
      </c>
      <c r="O171" s="166">
        <v>6</v>
      </c>
      <c r="P171" s="166">
        <v>2.7</v>
      </c>
    </row>
    <row r="172" spans="1:16" x14ac:dyDescent="0.25">
      <c r="A172" s="165">
        <v>171</v>
      </c>
      <c r="B172" s="165">
        <v>0</v>
      </c>
      <c r="C172" s="165">
        <v>0</v>
      </c>
      <c r="D172" s="165">
        <v>1</v>
      </c>
      <c r="E172" s="165">
        <v>3.75</v>
      </c>
      <c r="F172" s="165">
        <v>250</v>
      </c>
      <c r="G172" s="166">
        <v>560</v>
      </c>
      <c r="H172" s="166">
        <v>0.5</v>
      </c>
      <c r="I172" s="166">
        <v>3.8</v>
      </c>
      <c r="J172" s="166">
        <v>2.8</v>
      </c>
      <c r="K172" s="165">
        <v>2.5</v>
      </c>
      <c r="L172" s="165">
        <v>2.8000000000000007</v>
      </c>
      <c r="M172" s="166">
        <v>20.9</v>
      </c>
      <c r="N172" s="165">
        <v>9</v>
      </c>
      <c r="O172" s="166">
        <v>8.3000000000000007</v>
      </c>
      <c r="P172" s="166">
        <v>2.9</v>
      </c>
    </row>
    <row r="173" spans="1:16" x14ac:dyDescent="0.25">
      <c r="A173" s="165">
        <v>172</v>
      </c>
      <c r="B173" s="165">
        <v>1</v>
      </c>
      <c r="C173" s="165">
        <v>0</v>
      </c>
      <c r="D173" s="165">
        <v>0</v>
      </c>
      <c r="E173" s="165">
        <v>4.5</v>
      </c>
      <c r="F173" s="165">
        <v>300</v>
      </c>
      <c r="G173" s="166">
        <v>1060</v>
      </c>
      <c r="H173" s="166">
        <v>0.60000000000000009</v>
      </c>
      <c r="I173" s="166">
        <v>3.75</v>
      </c>
      <c r="J173" s="166">
        <v>2.75</v>
      </c>
      <c r="K173" s="165">
        <v>3</v>
      </c>
      <c r="L173" s="165">
        <v>3.4000000000000008</v>
      </c>
      <c r="M173" s="166">
        <v>20.5</v>
      </c>
      <c r="N173" s="165">
        <v>9</v>
      </c>
      <c r="O173" s="166">
        <v>8.6999999999999993</v>
      </c>
      <c r="P173" s="166">
        <v>3.3</v>
      </c>
    </row>
    <row r="174" spans="1:16" x14ac:dyDescent="0.25">
      <c r="A174" s="165">
        <v>173</v>
      </c>
      <c r="B174" s="165">
        <v>0</v>
      </c>
      <c r="C174" s="165">
        <v>1</v>
      </c>
      <c r="D174" s="165">
        <v>0</v>
      </c>
      <c r="E174" s="165">
        <v>3</v>
      </c>
      <c r="F174" s="165">
        <v>200</v>
      </c>
      <c r="G174" s="166">
        <v>804</v>
      </c>
      <c r="H174" s="166">
        <v>0.4</v>
      </c>
      <c r="I174" s="166">
        <v>3.65</v>
      </c>
      <c r="J174" s="166">
        <v>2.85</v>
      </c>
      <c r="K174" s="165">
        <v>2</v>
      </c>
      <c r="L174" s="165">
        <v>2.2000000000000006</v>
      </c>
      <c r="M174" s="166">
        <v>20</v>
      </c>
      <c r="N174" s="165">
        <v>9</v>
      </c>
      <c r="O174" s="166">
        <v>8.5</v>
      </c>
      <c r="P174" s="166">
        <v>3</v>
      </c>
    </row>
    <row r="175" spans="1:16" x14ac:dyDescent="0.25">
      <c r="A175" s="165">
        <v>174</v>
      </c>
      <c r="B175" s="165">
        <v>0</v>
      </c>
      <c r="C175" s="165">
        <v>0</v>
      </c>
      <c r="D175" s="165">
        <v>1</v>
      </c>
      <c r="E175" s="165">
        <v>4.5</v>
      </c>
      <c r="F175" s="165">
        <v>240</v>
      </c>
      <c r="G175" s="166">
        <v>960</v>
      </c>
      <c r="H175" s="166">
        <v>0.60000000000000009</v>
      </c>
      <c r="I175" s="166">
        <v>3.8</v>
      </c>
      <c r="J175" s="166">
        <v>2.8</v>
      </c>
      <c r="K175" s="165">
        <v>3</v>
      </c>
      <c r="L175" s="165">
        <v>3.4000000000000008</v>
      </c>
      <c r="M175" s="166">
        <v>20.399999999999999</v>
      </c>
      <c r="N175" s="165">
        <v>9</v>
      </c>
      <c r="O175" s="166">
        <v>6.15</v>
      </c>
      <c r="P175" s="166">
        <v>3</v>
      </c>
    </row>
    <row r="176" spans="1:16" x14ac:dyDescent="0.25">
      <c r="A176" s="165">
        <v>175</v>
      </c>
      <c r="B176" s="165">
        <v>1</v>
      </c>
      <c r="C176" s="165">
        <v>0</v>
      </c>
      <c r="D176" s="165">
        <v>0</v>
      </c>
      <c r="E176" s="165">
        <v>3.75</v>
      </c>
      <c r="F176" s="165">
        <v>200</v>
      </c>
      <c r="G176" s="166">
        <v>565</v>
      </c>
      <c r="H176" s="166">
        <v>0.5</v>
      </c>
      <c r="I176" s="166">
        <v>3.75</v>
      </c>
      <c r="J176" s="166">
        <v>2.75</v>
      </c>
      <c r="K176" s="165">
        <v>2.5</v>
      </c>
      <c r="L176" s="165">
        <v>2.7750000000000008</v>
      </c>
      <c r="M176" s="166">
        <v>19.8</v>
      </c>
      <c r="N176" s="165">
        <v>10</v>
      </c>
      <c r="O176" s="166">
        <v>7.65</v>
      </c>
      <c r="P176" s="166">
        <v>3</v>
      </c>
    </row>
    <row r="177" spans="1:16" x14ac:dyDescent="0.25">
      <c r="A177" s="165">
        <v>176</v>
      </c>
      <c r="B177" s="165">
        <v>0</v>
      </c>
      <c r="C177" s="165">
        <v>1</v>
      </c>
      <c r="D177" s="165">
        <v>0</v>
      </c>
      <c r="E177" s="165">
        <v>3</v>
      </c>
      <c r="F177" s="165">
        <v>160</v>
      </c>
      <c r="G177" s="166">
        <v>827</v>
      </c>
      <c r="H177" s="166">
        <v>0.4</v>
      </c>
      <c r="I177" s="166">
        <v>3.65</v>
      </c>
      <c r="J177" s="166">
        <v>2.85</v>
      </c>
      <c r="K177" s="165">
        <v>2</v>
      </c>
      <c r="L177" s="165">
        <v>2.1750000000000007</v>
      </c>
      <c r="M177" s="166">
        <v>20.9</v>
      </c>
      <c r="N177" s="165">
        <v>10</v>
      </c>
      <c r="O177" s="166">
        <v>6</v>
      </c>
      <c r="P177" s="166">
        <v>2.7</v>
      </c>
    </row>
    <row r="178" spans="1:16" x14ac:dyDescent="0.25">
      <c r="A178" s="165">
        <v>177</v>
      </c>
      <c r="B178" s="165">
        <v>0</v>
      </c>
      <c r="C178" s="165">
        <v>0</v>
      </c>
      <c r="D178" s="165">
        <v>1</v>
      </c>
      <c r="E178" s="165">
        <v>3.75</v>
      </c>
      <c r="F178" s="165">
        <v>250</v>
      </c>
      <c r="G178" s="166">
        <v>560</v>
      </c>
      <c r="H178" s="166">
        <v>0.5</v>
      </c>
      <c r="I178" s="166">
        <v>3.8</v>
      </c>
      <c r="J178" s="166">
        <v>2.8</v>
      </c>
      <c r="K178" s="165">
        <v>2.5</v>
      </c>
      <c r="L178" s="165">
        <v>2.7750000000000008</v>
      </c>
      <c r="M178" s="166">
        <v>20.9</v>
      </c>
      <c r="N178" s="165">
        <v>10</v>
      </c>
      <c r="O178" s="166">
        <v>8.0500000000000007</v>
      </c>
      <c r="P178" s="166">
        <v>2.8</v>
      </c>
    </row>
    <row r="179" spans="1:16" x14ac:dyDescent="0.25">
      <c r="A179" s="165">
        <v>178</v>
      </c>
      <c r="B179" s="165">
        <v>1</v>
      </c>
      <c r="C179" s="165">
        <v>0</v>
      </c>
      <c r="D179" s="165">
        <v>0</v>
      </c>
      <c r="E179" s="165">
        <v>4.5</v>
      </c>
      <c r="F179" s="165">
        <v>300</v>
      </c>
      <c r="G179" s="166">
        <v>1060</v>
      </c>
      <c r="H179" s="166">
        <v>0.60000000000000009</v>
      </c>
      <c r="I179" s="166">
        <v>3.75</v>
      </c>
      <c r="J179" s="166">
        <v>2.75</v>
      </c>
      <c r="K179" s="165">
        <v>3</v>
      </c>
      <c r="L179" s="165">
        <v>3.3750000000000009</v>
      </c>
      <c r="M179" s="166">
        <v>20.5</v>
      </c>
      <c r="N179" s="165">
        <v>10</v>
      </c>
      <c r="O179" s="166">
        <v>8.5</v>
      </c>
      <c r="P179" s="166">
        <v>3.2</v>
      </c>
    </row>
    <row r="180" spans="1:16" x14ac:dyDescent="0.25">
      <c r="A180" s="165">
        <v>179</v>
      </c>
      <c r="B180" s="165">
        <v>0</v>
      </c>
      <c r="C180" s="165">
        <v>1</v>
      </c>
      <c r="D180" s="165">
        <v>0</v>
      </c>
      <c r="E180" s="165">
        <v>3</v>
      </c>
      <c r="F180" s="165">
        <v>200</v>
      </c>
      <c r="G180" s="166">
        <v>804</v>
      </c>
      <c r="H180" s="166">
        <v>0.4</v>
      </c>
      <c r="I180" s="166">
        <v>3.65</v>
      </c>
      <c r="J180" s="166">
        <v>2.85</v>
      </c>
      <c r="K180" s="165">
        <v>2</v>
      </c>
      <c r="L180" s="165">
        <v>2.1750000000000007</v>
      </c>
      <c r="M180" s="166">
        <v>20</v>
      </c>
      <c r="N180" s="165">
        <v>10</v>
      </c>
      <c r="O180" s="166">
        <v>8.25</v>
      </c>
      <c r="P180" s="166">
        <v>2.9</v>
      </c>
    </row>
    <row r="181" spans="1:16" x14ac:dyDescent="0.25">
      <c r="A181" s="165">
        <v>180</v>
      </c>
      <c r="B181" s="165">
        <v>0</v>
      </c>
      <c r="C181" s="165">
        <v>0</v>
      </c>
      <c r="D181" s="165">
        <v>1</v>
      </c>
      <c r="E181" s="165">
        <v>4.5</v>
      </c>
      <c r="F181" s="165">
        <v>240</v>
      </c>
      <c r="G181" s="166">
        <v>960</v>
      </c>
      <c r="H181" s="166">
        <v>0.60000000000000009</v>
      </c>
      <c r="I181" s="166">
        <v>3.8</v>
      </c>
      <c r="J181" s="166">
        <v>2.8</v>
      </c>
      <c r="K181" s="165">
        <v>3</v>
      </c>
      <c r="L181" s="165">
        <v>3.3750000000000009</v>
      </c>
      <c r="M181" s="166">
        <v>20.399999999999999</v>
      </c>
      <c r="N181" s="165">
        <v>10</v>
      </c>
      <c r="O181" s="166">
        <v>5.95</v>
      </c>
      <c r="P181" s="166">
        <v>2.9</v>
      </c>
    </row>
    <row r="182" spans="1:16" x14ac:dyDescent="0.25">
      <c r="A182" s="165">
        <v>181</v>
      </c>
      <c r="B182" s="165">
        <v>1</v>
      </c>
      <c r="C182" s="165">
        <v>0</v>
      </c>
      <c r="D182" s="165">
        <v>0</v>
      </c>
      <c r="E182" s="165">
        <v>3.75</v>
      </c>
      <c r="F182" s="165">
        <v>200</v>
      </c>
      <c r="G182" s="166">
        <v>565</v>
      </c>
      <c r="H182" s="166">
        <v>0.5</v>
      </c>
      <c r="I182" s="166">
        <v>3.75</v>
      </c>
      <c r="J182" s="166">
        <v>2.75</v>
      </c>
      <c r="K182" s="165">
        <v>2.5</v>
      </c>
      <c r="L182" s="165">
        <v>2.7500000000000009</v>
      </c>
      <c r="M182" s="166">
        <v>19.5</v>
      </c>
      <c r="N182" s="165">
        <v>11</v>
      </c>
      <c r="O182" s="166">
        <v>7.6</v>
      </c>
      <c r="P182" s="166">
        <v>3</v>
      </c>
    </row>
    <row r="183" spans="1:16" x14ac:dyDescent="0.25">
      <c r="A183" s="165">
        <v>182</v>
      </c>
      <c r="B183" s="165">
        <v>0</v>
      </c>
      <c r="C183" s="165">
        <v>1</v>
      </c>
      <c r="D183" s="165">
        <v>0</v>
      </c>
      <c r="E183" s="165">
        <v>3</v>
      </c>
      <c r="F183" s="165">
        <v>160</v>
      </c>
      <c r="G183" s="166">
        <v>827</v>
      </c>
      <c r="H183" s="166">
        <v>0.4</v>
      </c>
      <c r="I183" s="166">
        <v>3.65</v>
      </c>
      <c r="J183" s="166">
        <v>2.85</v>
      </c>
      <c r="K183" s="165">
        <v>2</v>
      </c>
      <c r="L183" s="165">
        <v>2.1500000000000008</v>
      </c>
      <c r="M183" s="166">
        <v>20.6</v>
      </c>
      <c r="N183" s="165">
        <v>11</v>
      </c>
      <c r="O183" s="166">
        <v>6</v>
      </c>
      <c r="P183" s="166">
        <v>2.6</v>
      </c>
    </row>
    <row r="184" spans="1:16" x14ac:dyDescent="0.25">
      <c r="A184" s="165">
        <v>183</v>
      </c>
      <c r="B184" s="165">
        <v>0</v>
      </c>
      <c r="C184" s="165">
        <v>0</v>
      </c>
      <c r="D184" s="165">
        <v>1</v>
      </c>
      <c r="E184" s="165">
        <v>3.75</v>
      </c>
      <c r="F184" s="165">
        <v>250</v>
      </c>
      <c r="G184" s="166">
        <v>560</v>
      </c>
      <c r="H184" s="166">
        <v>0.5</v>
      </c>
      <c r="I184" s="166">
        <v>3.8</v>
      </c>
      <c r="J184" s="166">
        <v>2.8</v>
      </c>
      <c r="K184" s="165">
        <v>2.5</v>
      </c>
      <c r="L184" s="165">
        <v>2.7500000000000009</v>
      </c>
      <c r="M184" s="166">
        <v>20.9</v>
      </c>
      <c r="N184" s="165">
        <v>11</v>
      </c>
      <c r="O184" s="166">
        <v>7.8</v>
      </c>
      <c r="P184" s="166">
        <v>2.7</v>
      </c>
    </row>
    <row r="185" spans="1:16" x14ac:dyDescent="0.25">
      <c r="A185" s="165">
        <v>184</v>
      </c>
      <c r="B185" s="165">
        <v>1</v>
      </c>
      <c r="C185" s="165">
        <v>0</v>
      </c>
      <c r="D185" s="165">
        <v>0</v>
      </c>
      <c r="E185" s="165">
        <v>4.5</v>
      </c>
      <c r="F185" s="165">
        <v>300</v>
      </c>
      <c r="G185" s="166">
        <v>1060</v>
      </c>
      <c r="H185" s="166">
        <v>0.60000000000000009</v>
      </c>
      <c r="I185" s="166">
        <v>3.75</v>
      </c>
      <c r="J185" s="166">
        <v>2.75</v>
      </c>
      <c r="K185" s="165">
        <v>3</v>
      </c>
      <c r="L185" s="165">
        <v>3.350000000000001</v>
      </c>
      <c r="M185" s="166">
        <v>19.100000000000001</v>
      </c>
      <c r="N185" s="165">
        <v>11</v>
      </c>
      <c r="O185" s="166">
        <v>8.4</v>
      </c>
      <c r="P185" s="166">
        <v>3.2</v>
      </c>
    </row>
    <row r="186" spans="1:16" x14ac:dyDescent="0.25">
      <c r="A186" s="165">
        <v>185</v>
      </c>
      <c r="B186" s="165">
        <v>0</v>
      </c>
      <c r="C186" s="165">
        <v>1</v>
      </c>
      <c r="D186" s="165">
        <v>0</v>
      </c>
      <c r="E186" s="165">
        <v>3</v>
      </c>
      <c r="F186" s="165">
        <v>200</v>
      </c>
      <c r="G186" s="166">
        <v>804</v>
      </c>
      <c r="H186" s="166">
        <v>0.4</v>
      </c>
      <c r="I186" s="166">
        <v>3.65</v>
      </c>
      <c r="J186" s="166">
        <v>2.85</v>
      </c>
      <c r="K186" s="165">
        <v>2</v>
      </c>
      <c r="L186" s="165">
        <v>2.1500000000000008</v>
      </c>
      <c r="M186" s="166">
        <v>19.600000000000001</v>
      </c>
      <c r="N186" s="165">
        <v>11</v>
      </c>
      <c r="O186" s="166">
        <v>8.0500000000000007</v>
      </c>
      <c r="P186" s="166">
        <v>2.9</v>
      </c>
    </row>
    <row r="187" spans="1:16" x14ac:dyDescent="0.25">
      <c r="A187" s="165">
        <v>186</v>
      </c>
      <c r="B187" s="165">
        <v>0</v>
      </c>
      <c r="C187" s="165">
        <v>0</v>
      </c>
      <c r="D187" s="165">
        <v>1</v>
      </c>
      <c r="E187" s="165">
        <v>4.5</v>
      </c>
      <c r="F187" s="165">
        <v>240</v>
      </c>
      <c r="G187" s="166">
        <v>960</v>
      </c>
      <c r="H187" s="166">
        <v>0.60000000000000009</v>
      </c>
      <c r="I187" s="166">
        <v>3.8</v>
      </c>
      <c r="J187" s="166">
        <v>2.8</v>
      </c>
      <c r="K187" s="165">
        <v>3</v>
      </c>
      <c r="L187" s="165">
        <v>3.350000000000001</v>
      </c>
      <c r="M187" s="166">
        <v>19.5</v>
      </c>
      <c r="N187" s="165">
        <v>11</v>
      </c>
      <c r="O187" s="166">
        <v>5.65</v>
      </c>
      <c r="P187" s="166">
        <v>2.9</v>
      </c>
    </row>
    <row r="188" spans="1:16" x14ac:dyDescent="0.25">
      <c r="A188" s="165">
        <v>187</v>
      </c>
      <c r="B188" s="165">
        <v>1</v>
      </c>
      <c r="C188" s="165">
        <v>0</v>
      </c>
      <c r="D188" s="165">
        <v>0</v>
      </c>
      <c r="E188" s="165">
        <v>3.75</v>
      </c>
      <c r="F188" s="165">
        <v>200</v>
      </c>
      <c r="G188" s="166">
        <v>565</v>
      </c>
      <c r="H188" s="166">
        <v>0.5</v>
      </c>
      <c r="I188" s="166">
        <v>3.75</v>
      </c>
      <c r="J188" s="166">
        <v>2.75</v>
      </c>
      <c r="K188" s="165">
        <v>2.5</v>
      </c>
      <c r="L188" s="165">
        <v>2.725000000000001</v>
      </c>
      <c r="M188" s="166">
        <v>19.5</v>
      </c>
      <c r="N188" s="165">
        <v>12</v>
      </c>
      <c r="O188" s="166">
        <v>7.3</v>
      </c>
      <c r="P188" s="166">
        <v>2.9</v>
      </c>
    </row>
    <row r="189" spans="1:16" x14ac:dyDescent="0.25">
      <c r="A189" s="165">
        <v>188</v>
      </c>
      <c r="B189" s="165">
        <v>0</v>
      </c>
      <c r="C189" s="165">
        <v>1</v>
      </c>
      <c r="D189" s="165">
        <v>0</v>
      </c>
      <c r="E189" s="165">
        <v>3</v>
      </c>
      <c r="F189" s="165">
        <v>160</v>
      </c>
      <c r="G189" s="166">
        <v>827</v>
      </c>
      <c r="H189" s="166">
        <v>0.4</v>
      </c>
      <c r="I189" s="166">
        <v>3.65</v>
      </c>
      <c r="J189" s="166">
        <v>2.85</v>
      </c>
      <c r="K189" s="165">
        <v>2</v>
      </c>
      <c r="L189" s="165">
        <v>2.1250000000000009</v>
      </c>
      <c r="M189" s="166">
        <v>20.6</v>
      </c>
      <c r="N189" s="165">
        <v>12</v>
      </c>
      <c r="O189" s="166">
        <v>6</v>
      </c>
      <c r="P189" s="166">
        <v>2.6</v>
      </c>
    </row>
    <row r="190" spans="1:16" x14ac:dyDescent="0.25">
      <c r="A190" s="165">
        <v>189</v>
      </c>
      <c r="B190" s="165">
        <v>0</v>
      </c>
      <c r="C190" s="165">
        <v>0</v>
      </c>
      <c r="D190" s="165">
        <v>1</v>
      </c>
      <c r="E190" s="165">
        <v>3.75</v>
      </c>
      <c r="F190" s="165">
        <v>250</v>
      </c>
      <c r="G190" s="166">
        <v>560</v>
      </c>
      <c r="H190" s="166">
        <v>0.5</v>
      </c>
      <c r="I190" s="166">
        <v>3.8</v>
      </c>
      <c r="J190" s="166">
        <v>2.8</v>
      </c>
      <c r="K190" s="165">
        <v>2.5</v>
      </c>
      <c r="L190" s="165">
        <v>2.725000000000001</v>
      </c>
      <c r="M190" s="166">
        <v>20.9</v>
      </c>
      <c r="N190" s="165">
        <v>12</v>
      </c>
      <c r="O190" s="166">
        <v>7.6</v>
      </c>
      <c r="P190" s="166">
        <v>2.7</v>
      </c>
    </row>
    <row r="191" spans="1:16" x14ac:dyDescent="0.25">
      <c r="A191" s="165">
        <v>190</v>
      </c>
      <c r="B191" s="165">
        <v>1</v>
      </c>
      <c r="C191" s="165">
        <v>0</v>
      </c>
      <c r="D191" s="165">
        <v>0</v>
      </c>
      <c r="E191" s="165">
        <v>4.5</v>
      </c>
      <c r="F191" s="165">
        <v>300</v>
      </c>
      <c r="G191" s="166">
        <v>1060</v>
      </c>
      <c r="H191" s="166">
        <v>0.60000000000000009</v>
      </c>
      <c r="I191" s="166">
        <v>3.75</v>
      </c>
      <c r="J191" s="166">
        <v>2.75</v>
      </c>
      <c r="K191" s="165">
        <v>3</v>
      </c>
      <c r="L191" s="165">
        <v>3.3250000000000011</v>
      </c>
      <c r="M191" s="166">
        <v>19.100000000000001</v>
      </c>
      <c r="N191" s="165">
        <v>12</v>
      </c>
      <c r="O191" s="166">
        <v>8.35</v>
      </c>
      <c r="P191" s="166">
        <v>3.2</v>
      </c>
    </row>
    <row r="192" spans="1:16" x14ac:dyDescent="0.25">
      <c r="A192" s="165">
        <v>191</v>
      </c>
      <c r="B192" s="165">
        <v>0</v>
      </c>
      <c r="C192" s="165">
        <v>1</v>
      </c>
      <c r="D192" s="165">
        <v>0</v>
      </c>
      <c r="E192" s="165">
        <v>3</v>
      </c>
      <c r="F192" s="165">
        <v>200</v>
      </c>
      <c r="G192" s="166">
        <v>804</v>
      </c>
      <c r="H192" s="166">
        <v>0.4</v>
      </c>
      <c r="I192" s="166">
        <v>3.65</v>
      </c>
      <c r="J192" s="166">
        <v>2.85</v>
      </c>
      <c r="K192" s="165">
        <v>2</v>
      </c>
      <c r="L192" s="165">
        <v>2.1250000000000009</v>
      </c>
      <c r="M192" s="166">
        <v>19.600000000000001</v>
      </c>
      <c r="N192" s="165">
        <v>12</v>
      </c>
      <c r="O192" s="166">
        <v>7.85</v>
      </c>
      <c r="P192" s="166">
        <v>2.8</v>
      </c>
    </row>
    <row r="193" spans="1:16" x14ac:dyDescent="0.25">
      <c r="A193" s="165">
        <v>192</v>
      </c>
      <c r="B193" s="165">
        <v>0</v>
      </c>
      <c r="C193" s="165">
        <v>0</v>
      </c>
      <c r="D193" s="165">
        <v>1</v>
      </c>
      <c r="E193" s="165">
        <v>4.5</v>
      </c>
      <c r="F193" s="165">
        <v>240</v>
      </c>
      <c r="G193" s="166">
        <v>960</v>
      </c>
      <c r="H193" s="166">
        <v>0.60000000000000009</v>
      </c>
      <c r="I193" s="166">
        <v>3.8</v>
      </c>
      <c r="J193" s="166">
        <v>2.8</v>
      </c>
      <c r="K193" s="165">
        <v>3</v>
      </c>
      <c r="L193" s="165">
        <v>3.3250000000000011</v>
      </c>
      <c r="M193" s="166">
        <v>19.5</v>
      </c>
      <c r="N193" s="165">
        <v>12</v>
      </c>
      <c r="O193" s="166">
        <v>5.65</v>
      </c>
      <c r="P193" s="166">
        <v>2.8</v>
      </c>
    </row>
    <row r="194" spans="1:16" x14ac:dyDescent="0.25">
      <c r="A194" s="165">
        <v>193</v>
      </c>
      <c r="B194" s="165">
        <v>1</v>
      </c>
      <c r="C194" s="165">
        <v>0</v>
      </c>
      <c r="D194" s="165">
        <v>0</v>
      </c>
      <c r="E194" s="165">
        <v>3.75</v>
      </c>
      <c r="F194" s="165">
        <v>200</v>
      </c>
      <c r="G194" s="166">
        <v>565</v>
      </c>
      <c r="H194" s="166">
        <v>0.5</v>
      </c>
      <c r="I194" s="166">
        <v>3.75</v>
      </c>
      <c r="J194" s="166">
        <v>2.75</v>
      </c>
      <c r="K194" s="165">
        <v>2.5</v>
      </c>
      <c r="L194" s="165">
        <v>2.7000000000000011</v>
      </c>
      <c r="M194" s="166">
        <v>19.5</v>
      </c>
      <c r="N194" s="165">
        <v>13</v>
      </c>
      <c r="O194" s="166">
        <v>7.3</v>
      </c>
      <c r="P194" s="166">
        <v>2.9</v>
      </c>
    </row>
    <row r="195" spans="1:16" x14ac:dyDescent="0.25">
      <c r="A195" s="165">
        <v>194</v>
      </c>
      <c r="B195" s="165">
        <v>0</v>
      </c>
      <c r="C195" s="165">
        <v>1</v>
      </c>
      <c r="D195" s="165">
        <v>0</v>
      </c>
      <c r="E195" s="165">
        <v>3</v>
      </c>
      <c r="F195" s="165">
        <v>160</v>
      </c>
      <c r="G195" s="166">
        <v>827</v>
      </c>
      <c r="H195" s="166">
        <v>0.4</v>
      </c>
      <c r="I195" s="166">
        <v>3.65</v>
      </c>
      <c r="J195" s="166">
        <v>2.85</v>
      </c>
      <c r="K195" s="165">
        <v>2</v>
      </c>
      <c r="L195" s="165">
        <v>2.100000000000001</v>
      </c>
      <c r="M195" s="166">
        <v>20.6</v>
      </c>
      <c r="N195" s="165">
        <v>13</v>
      </c>
      <c r="O195" s="166">
        <v>6</v>
      </c>
      <c r="P195" s="166">
        <v>2.6</v>
      </c>
    </row>
    <row r="196" spans="1:16" x14ac:dyDescent="0.25">
      <c r="A196" s="165">
        <v>195</v>
      </c>
      <c r="B196" s="165">
        <v>0</v>
      </c>
      <c r="C196" s="165">
        <v>0</v>
      </c>
      <c r="D196" s="165">
        <v>1</v>
      </c>
      <c r="E196" s="165">
        <v>3.75</v>
      </c>
      <c r="F196" s="165">
        <v>250</v>
      </c>
      <c r="G196" s="166">
        <v>560</v>
      </c>
      <c r="H196" s="166">
        <v>0.5</v>
      </c>
      <c r="I196" s="166">
        <v>3.8</v>
      </c>
      <c r="J196" s="166">
        <v>2.8</v>
      </c>
      <c r="K196" s="165">
        <v>2.5</v>
      </c>
      <c r="L196" s="165">
        <v>2.7000000000000011</v>
      </c>
      <c r="M196" s="166">
        <v>20.9</v>
      </c>
      <c r="N196" s="165">
        <v>13</v>
      </c>
      <c r="O196" s="166">
        <v>7.85</v>
      </c>
      <c r="P196" s="166">
        <v>2.7</v>
      </c>
    </row>
    <row r="197" spans="1:16" x14ac:dyDescent="0.25">
      <c r="A197" s="165">
        <v>196</v>
      </c>
      <c r="B197" s="165">
        <v>1</v>
      </c>
      <c r="C197" s="165">
        <v>0</v>
      </c>
      <c r="D197" s="165">
        <v>0</v>
      </c>
      <c r="E197" s="165">
        <v>4.5</v>
      </c>
      <c r="F197" s="165">
        <v>300</v>
      </c>
      <c r="G197" s="166">
        <v>1060</v>
      </c>
      <c r="H197" s="166">
        <v>0.60000000000000009</v>
      </c>
      <c r="I197" s="166">
        <v>3.75</v>
      </c>
      <c r="J197" s="166">
        <v>2.75</v>
      </c>
      <c r="K197" s="165">
        <v>3</v>
      </c>
      <c r="L197" s="165">
        <v>3.3000000000000012</v>
      </c>
      <c r="M197" s="166">
        <v>19.100000000000001</v>
      </c>
      <c r="N197" s="165">
        <v>13</v>
      </c>
      <c r="O197" s="166">
        <v>8.3000000000000007</v>
      </c>
      <c r="P197" s="166">
        <v>3.1</v>
      </c>
    </row>
    <row r="198" spans="1:16" x14ac:dyDescent="0.25">
      <c r="A198" s="165">
        <v>197</v>
      </c>
      <c r="B198" s="165">
        <v>0</v>
      </c>
      <c r="C198" s="165">
        <v>1</v>
      </c>
      <c r="D198" s="165">
        <v>0</v>
      </c>
      <c r="E198" s="165">
        <v>3</v>
      </c>
      <c r="F198" s="165">
        <v>200</v>
      </c>
      <c r="G198" s="166">
        <v>804</v>
      </c>
      <c r="H198" s="166">
        <v>0.4</v>
      </c>
      <c r="I198" s="166">
        <v>3.65</v>
      </c>
      <c r="J198" s="166">
        <v>2.85</v>
      </c>
      <c r="K198" s="165">
        <v>2</v>
      </c>
      <c r="L198" s="165">
        <v>2.100000000000001</v>
      </c>
      <c r="M198" s="166">
        <v>19.600000000000001</v>
      </c>
      <c r="N198" s="165">
        <v>13</v>
      </c>
      <c r="O198" s="166">
        <v>7.8</v>
      </c>
      <c r="P198" s="166">
        <v>2.8</v>
      </c>
    </row>
    <row r="199" spans="1:16" x14ac:dyDescent="0.25">
      <c r="A199" s="165">
        <v>198</v>
      </c>
      <c r="B199" s="165">
        <v>0</v>
      </c>
      <c r="C199" s="165">
        <v>0</v>
      </c>
      <c r="D199" s="165">
        <v>1</v>
      </c>
      <c r="E199" s="165">
        <v>4.5</v>
      </c>
      <c r="F199" s="165">
        <v>240</v>
      </c>
      <c r="G199" s="166">
        <v>960</v>
      </c>
      <c r="H199" s="166">
        <v>0.60000000000000009</v>
      </c>
      <c r="I199" s="166">
        <v>3.8</v>
      </c>
      <c r="J199" s="166">
        <v>2.8</v>
      </c>
      <c r="K199" s="165">
        <v>3</v>
      </c>
      <c r="L199" s="165">
        <v>3.3000000000000012</v>
      </c>
      <c r="M199" s="166">
        <v>19.5</v>
      </c>
      <c r="N199" s="165">
        <v>13</v>
      </c>
      <c r="O199" s="166">
        <v>5.6</v>
      </c>
      <c r="P199" s="166">
        <v>2.8</v>
      </c>
    </row>
    <row r="200" spans="1:16" x14ac:dyDescent="0.25">
      <c r="A200" s="165">
        <v>199</v>
      </c>
      <c r="B200" s="165">
        <v>1</v>
      </c>
      <c r="C200" s="165">
        <v>0</v>
      </c>
      <c r="D200" s="165">
        <v>0</v>
      </c>
      <c r="E200" s="165">
        <v>3.75</v>
      </c>
      <c r="F200" s="165">
        <v>200</v>
      </c>
      <c r="G200" s="166">
        <v>565</v>
      </c>
      <c r="H200" s="166">
        <v>0.5</v>
      </c>
      <c r="I200" s="166">
        <v>3.75</v>
      </c>
      <c r="J200" s="166">
        <v>2.75</v>
      </c>
      <c r="K200" s="165">
        <v>2.5</v>
      </c>
      <c r="L200" s="165">
        <v>2.6750000000000012</v>
      </c>
      <c r="M200" s="166">
        <v>19.5</v>
      </c>
      <c r="N200" s="165">
        <v>14</v>
      </c>
      <c r="O200" s="166">
        <v>7</v>
      </c>
      <c r="P200" s="166">
        <v>2.8</v>
      </c>
    </row>
    <row r="201" spans="1:16" x14ac:dyDescent="0.25">
      <c r="A201" s="165">
        <v>200</v>
      </c>
      <c r="B201" s="165">
        <v>0</v>
      </c>
      <c r="C201" s="165">
        <v>1</v>
      </c>
      <c r="D201" s="165">
        <v>0</v>
      </c>
      <c r="E201" s="165">
        <v>3</v>
      </c>
      <c r="F201" s="165">
        <v>160</v>
      </c>
      <c r="G201" s="166">
        <v>827</v>
      </c>
      <c r="H201" s="166">
        <v>0.4</v>
      </c>
      <c r="I201" s="166">
        <v>3.65</v>
      </c>
      <c r="J201" s="166">
        <v>2.85</v>
      </c>
      <c r="K201" s="165">
        <v>2</v>
      </c>
      <c r="L201" s="165">
        <v>2.0750000000000011</v>
      </c>
      <c r="M201" s="166">
        <v>20.6</v>
      </c>
      <c r="N201" s="165">
        <v>14</v>
      </c>
      <c r="O201" s="166">
        <v>6</v>
      </c>
      <c r="P201" s="166">
        <v>2.6</v>
      </c>
    </row>
    <row r="202" spans="1:16" x14ac:dyDescent="0.25">
      <c r="A202" s="165">
        <v>201</v>
      </c>
      <c r="B202" s="165">
        <v>0</v>
      </c>
      <c r="C202" s="165">
        <v>0</v>
      </c>
      <c r="D202" s="165">
        <v>1</v>
      </c>
      <c r="E202" s="165">
        <v>3.75</v>
      </c>
      <c r="F202" s="165">
        <v>250</v>
      </c>
      <c r="G202" s="166">
        <v>560</v>
      </c>
      <c r="H202" s="166">
        <v>0.5</v>
      </c>
      <c r="I202" s="166">
        <v>3.8</v>
      </c>
      <c r="J202" s="166">
        <v>2.8</v>
      </c>
      <c r="K202" s="165">
        <v>2.5</v>
      </c>
      <c r="L202" s="165">
        <v>2.6750000000000012</v>
      </c>
      <c r="M202" s="166">
        <v>20.9</v>
      </c>
      <c r="N202" s="165">
        <v>14</v>
      </c>
      <c r="O202" s="166">
        <v>7.9</v>
      </c>
      <c r="P202" s="166">
        <v>2.6</v>
      </c>
    </row>
    <row r="203" spans="1:16" x14ac:dyDescent="0.25">
      <c r="A203" s="165">
        <v>202</v>
      </c>
      <c r="B203" s="165">
        <v>1</v>
      </c>
      <c r="C203" s="165">
        <v>0</v>
      </c>
      <c r="D203" s="165">
        <v>0</v>
      </c>
      <c r="E203" s="165">
        <v>4.5</v>
      </c>
      <c r="F203" s="165">
        <v>300</v>
      </c>
      <c r="G203" s="166">
        <v>1060</v>
      </c>
      <c r="H203" s="166">
        <v>0.60000000000000009</v>
      </c>
      <c r="I203" s="166">
        <v>3.75</v>
      </c>
      <c r="J203" s="166">
        <v>2.75</v>
      </c>
      <c r="K203" s="165">
        <v>3</v>
      </c>
      <c r="L203" s="165">
        <v>3.2750000000000012</v>
      </c>
      <c r="M203" s="166">
        <v>19.100000000000001</v>
      </c>
      <c r="N203" s="165">
        <v>14</v>
      </c>
      <c r="O203" s="166">
        <v>8.4</v>
      </c>
      <c r="P203" s="166">
        <v>3.1</v>
      </c>
    </row>
    <row r="204" spans="1:16" x14ac:dyDescent="0.25">
      <c r="A204" s="165">
        <v>203</v>
      </c>
      <c r="B204" s="165">
        <v>0</v>
      </c>
      <c r="C204" s="165">
        <v>1</v>
      </c>
      <c r="D204" s="165">
        <v>0</v>
      </c>
      <c r="E204" s="165">
        <v>3</v>
      </c>
      <c r="F204" s="165">
        <v>200</v>
      </c>
      <c r="G204" s="166">
        <v>804</v>
      </c>
      <c r="H204" s="166">
        <v>0.4</v>
      </c>
      <c r="I204" s="166">
        <v>3.65</v>
      </c>
      <c r="J204" s="166">
        <v>2.85</v>
      </c>
      <c r="K204" s="165">
        <v>2</v>
      </c>
      <c r="L204" s="165">
        <v>2.0750000000000011</v>
      </c>
      <c r="M204" s="166">
        <v>19.600000000000001</v>
      </c>
      <c r="N204" s="165">
        <v>14</v>
      </c>
      <c r="O204" s="166">
        <v>7.65</v>
      </c>
      <c r="P204" s="166">
        <v>2.75</v>
      </c>
    </row>
    <row r="205" spans="1:16" x14ac:dyDescent="0.25">
      <c r="A205" s="165">
        <v>204</v>
      </c>
      <c r="B205" s="165">
        <v>0</v>
      </c>
      <c r="C205" s="165">
        <v>0</v>
      </c>
      <c r="D205" s="165">
        <v>1</v>
      </c>
      <c r="E205" s="165">
        <v>4.5</v>
      </c>
      <c r="F205" s="165">
        <v>240</v>
      </c>
      <c r="G205" s="166">
        <v>960</v>
      </c>
      <c r="H205" s="166">
        <v>0.60000000000000009</v>
      </c>
      <c r="I205" s="166">
        <v>3.8</v>
      </c>
      <c r="J205" s="166">
        <v>2.8</v>
      </c>
      <c r="K205" s="165">
        <v>3</v>
      </c>
      <c r="L205" s="165">
        <v>3.2750000000000012</v>
      </c>
      <c r="M205" s="166">
        <v>19.5</v>
      </c>
      <c r="N205" s="165">
        <v>14</v>
      </c>
      <c r="O205" s="166">
        <v>5.4</v>
      </c>
      <c r="P205" s="166">
        <v>2.8</v>
      </c>
    </row>
    <row r="206" spans="1:16" x14ac:dyDescent="0.25">
      <c r="A206" s="165">
        <v>205</v>
      </c>
      <c r="B206" s="165">
        <v>1</v>
      </c>
      <c r="C206" s="165">
        <v>0</v>
      </c>
      <c r="D206" s="165">
        <v>0</v>
      </c>
      <c r="E206" s="165">
        <v>3.75</v>
      </c>
      <c r="F206" s="165">
        <v>200</v>
      </c>
      <c r="G206" s="166">
        <v>565</v>
      </c>
      <c r="H206" s="166">
        <v>0.5</v>
      </c>
      <c r="I206" s="166">
        <v>3.75</v>
      </c>
      <c r="J206" s="166">
        <v>2.75</v>
      </c>
      <c r="K206" s="165">
        <v>2.5</v>
      </c>
      <c r="L206" s="165">
        <v>2.6500000000000012</v>
      </c>
      <c r="M206" s="166">
        <v>19.5</v>
      </c>
      <c r="N206" s="165">
        <v>15</v>
      </c>
      <c r="O206" s="166">
        <v>7</v>
      </c>
      <c r="P206" s="166">
        <v>2.8</v>
      </c>
    </row>
    <row r="207" spans="1:16" x14ac:dyDescent="0.25">
      <c r="A207" s="165">
        <v>206</v>
      </c>
      <c r="B207" s="165">
        <v>0</v>
      </c>
      <c r="C207" s="165">
        <v>1</v>
      </c>
      <c r="D207" s="165">
        <v>0</v>
      </c>
      <c r="E207" s="165">
        <v>3</v>
      </c>
      <c r="F207" s="165">
        <v>160</v>
      </c>
      <c r="G207" s="166">
        <v>827</v>
      </c>
      <c r="H207" s="166">
        <v>0.4</v>
      </c>
      <c r="I207" s="166">
        <v>3.65</v>
      </c>
      <c r="J207" s="166">
        <v>2.85</v>
      </c>
      <c r="K207" s="165">
        <v>2</v>
      </c>
      <c r="L207" s="165">
        <v>2.0500000000000012</v>
      </c>
      <c r="M207" s="166">
        <v>20.6</v>
      </c>
      <c r="N207" s="165">
        <v>15</v>
      </c>
      <c r="O207" s="166">
        <v>6</v>
      </c>
      <c r="P207" s="166">
        <v>2.6</v>
      </c>
    </row>
    <row r="208" spans="1:16" x14ac:dyDescent="0.25">
      <c r="A208" s="165">
        <v>207</v>
      </c>
      <c r="B208" s="165">
        <v>0</v>
      </c>
      <c r="C208" s="165">
        <v>0</v>
      </c>
      <c r="D208" s="165">
        <v>1</v>
      </c>
      <c r="E208" s="165">
        <v>3.75</v>
      </c>
      <c r="F208" s="165">
        <v>250</v>
      </c>
      <c r="G208" s="166">
        <v>560</v>
      </c>
      <c r="H208" s="166">
        <v>0.5</v>
      </c>
      <c r="I208" s="166">
        <v>3.8</v>
      </c>
      <c r="J208" s="166">
        <v>2.8</v>
      </c>
      <c r="K208" s="165">
        <v>2.5</v>
      </c>
      <c r="L208" s="165">
        <v>2.6500000000000012</v>
      </c>
      <c r="M208" s="166">
        <v>20.9</v>
      </c>
      <c r="N208" s="165">
        <v>15</v>
      </c>
      <c r="O208" s="166">
        <v>7.8</v>
      </c>
      <c r="P208" s="166">
        <v>2.6</v>
      </c>
    </row>
    <row r="209" spans="1:16" x14ac:dyDescent="0.25">
      <c r="A209" s="165">
        <v>208</v>
      </c>
      <c r="B209" s="165">
        <v>1</v>
      </c>
      <c r="C209" s="165">
        <v>0</v>
      </c>
      <c r="D209" s="165">
        <v>0</v>
      </c>
      <c r="E209" s="165">
        <v>4.5</v>
      </c>
      <c r="F209" s="165">
        <v>300</v>
      </c>
      <c r="G209" s="166">
        <v>1060</v>
      </c>
      <c r="H209" s="166">
        <v>0.60000000000000009</v>
      </c>
      <c r="I209" s="166">
        <v>3.75</v>
      </c>
      <c r="J209" s="166">
        <v>2.75</v>
      </c>
      <c r="K209" s="165">
        <v>3</v>
      </c>
      <c r="L209" s="165">
        <v>3.2500000000000013</v>
      </c>
      <c r="M209" s="166">
        <v>19.100000000000001</v>
      </c>
      <c r="N209" s="165">
        <v>15</v>
      </c>
      <c r="O209" s="166">
        <v>8.25</v>
      </c>
      <c r="P209" s="166">
        <v>3.1</v>
      </c>
    </row>
    <row r="210" spans="1:16" x14ac:dyDescent="0.25">
      <c r="A210" s="165">
        <v>209</v>
      </c>
      <c r="B210" s="165">
        <v>0</v>
      </c>
      <c r="C210" s="165">
        <v>1</v>
      </c>
      <c r="D210" s="165">
        <v>0</v>
      </c>
      <c r="E210" s="165">
        <v>3</v>
      </c>
      <c r="F210" s="165">
        <v>200</v>
      </c>
      <c r="G210" s="166">
        <v>804</v>
      </c>
      <c r="H210" s="166">
        <v>0.4</v>
      </c>
      <c r="I210" s="166">
        <v>3.65</v>
      </c>
      <c r="J210" s="166">
        <v>2.85</v>
      </c>
      <c r="K210" s="165">
        <v>2</v>
      </c>
      <c r="L210" s="165">
        <v>2.0500000000000012</v>
      </c>
      <c r="M210" s="166">
        <v>19.600000000000001</v>
      </c>
      <c r="N210" s="165">
        <v>15</v>
      </c>
      <c r="O210" s="166">
        <v>7.6</v>
      </c>
      <c r="P210" s="166">
        <v>2.7</v>
      </c>
    </row>
    <row r="211" spans="1:16" x14ac:dyDescent="0.25">
      <c r="A211" s="165">
        <v>210</v>
      </c>
      <c r="B211" s="165">
        <v>0</v>
      </c>
      <c r="C211" s="165">
        <v>0</v>
      </c>
      <c r="D211" s="165">
        <v>1</v>
      </c>
      <c r="E211" s="165">
        <v>4.5</v>
      </c>
      <c r="F211" s="165">
        <v>240</v>
      </c>
      <c r="G211" s="166">
        <v>960</v>
      </c>
      <c r="H211" s="166">
        <v>0.60000000000000009</v>
      </c>
      <c r="I211" s="166">
        <v>3.8</v>
      </c>
      <c r="J211" s="166">
        <v>2.8</v>
      </c>
      <c r="K211" s="165">
        <v>3</v>
      </c>
      <c r="L211" s="165">
        <v>3.2500000000000013</v>
      </c>
      <c r="M211" s="166">
        <v>19.5</v>
      </c>
      <c r="N211" s="165">
        <v>15</v>
      </c>
      <c r="O211" s="166">
        <v>5.5</v>
      </c>
      <c r="P211" s="166">
        <v>2.8</v>
      </c>
    </row>
    <row r="212" spans="1:16" x14ac:dyDescent="0.25">
      <c r="A212" s="165">
        <v>211</v>
      </c>
      <c r="B212" s="165">
        <v>1</v>
      </c>
      <c r="C212" s="165">
        <v>0</v>
      </c>
      <c r="D212" s="165">
        <v>0</v>
      </c>
      <c r="E212" s="165">
        <v>3.75</v>
      </c>
      <c r="F212" s="165">
        <v>200</v>
      </c>
      <c r="G212" s="166">
        <v>565</v>
      </c>
      <c r="H212" s="166">
        <v>0.5</v>
      </c>
      <c r="I212" s="166">
        <v>3.75</v>
      </c>
      <c r="J212" s="166">
        <v>2.75</v>
      </c>
      <c r="K212" s="165">
        <v>2.5</v>
      </c>
      <c r="L212" s="165">
        <v>2.6250000000000013</v>
      </c>
      <c r="M212" s="166">
        <v>19.5</v>
      </c>
      <c r="N212" s="165">
        <v>16</v>
      </c>
      <c r="O212" s="166">
        <v>6.7</v>
      </c>
      <c r="P212" s="166">
        <v>2.7</v>
      </c>
    </row>
    <row r="213" spans="1:16" x14ac:dyDescent="0.25">
      <c r="A213" s="165">
        <v>212</v>
      </c>
      <c r="B213" s="165">
        <v>0</v>
      </c>
      <c r="C213" s="165">
        <v>1</v>
      </c>
      <c r="D213" s="165">
        <v>0</v>
      </c>
      <c r="E213" s="165">
        <v>3</v>
      </c>
      <c r="F213" s="165">
        <v>160</v>
      </c>
      <c r="G213" s="166">
        <v>827</v>
      </c>
      <c r="H213" s="166">
        <v>0.4</v>
      </c>
      <c r="I213" s="166">
        <v>3.65</v>
      </c>
      <c r="J213" s="166">
        <v>2.85</v>
      </c>
      <c r="K213" s="165">
        <v>2</v>
      </c>
      <c r="L213" s="165">
        <v>2.0250000000000012</v>
      </c>
      <c r="M213" s="166">
        <v>20.6</v>
      </c>
      <c r="N213" s="165">
        <v>16</v>
      </c>
      <c r="O213" s="166">
        <v>6</v>
      </c>
      <c r="P213" s="166">
        <v>2.6</v>
      </c>
    </row>
    <row r="214" spans="1:16" x14ac:dyDescent="0.25">
      <c r="A214" s="165">
        <v>213</v>
      </c>
      <c r="B214" s="165">
        <v>0</v>
      </c>
      <c r="C214" s="165">
        <v>0</v>
      </c>
      <c r="D214" s="165">
        <v>1</v>
      </c>
      <c r="E214" s="165">
        <v>3.75</v>
      </c>
      <c r="F214" s="165">
        <v>250</v>
      </c>
      <c r="G214" s="166">
        <v>560</v>
      </c>
      <c r="H214" s="166">
        <v>0.5</v>
      </c>
      <c r="I214" s="166">
        <v>3.8</v>
      </c>
      <c r="J214" s="166">
        <v>2.8</v>
      </c>
      <c r="K214" s="165">
        <v>2.5</v>
      </c>
      <c r="L214" s="165">
        <v>2.6250000000000013</v>
      </c>
      <c r="M214" s="166">
        <v>20.9</v>
      </c>
      <c r="N214" s="165">
        <v>16</v>
      </c>
      <c r="O214" s="166">
        <v>7.8</v>
      </c>
      <c r="P214" s="166">
        <v>2.6</v>
      </c>
    </row>
    <row r="215" spans="1:16" x14ac:dyDescent="0.25">
      <c r="A215" s="165">
        <v>214</v>
      </c>
      <c r="B215" s="165">
        <v>1</v>
      </c>
      <c r="C215" s="165">
        <v>0</v>
      </c>
      <c r="D215" s="165">
        <v>0</v>
      </c>
      <c r="E215" s="165">
        <v>4.5</v>
      </c>
      <c r="F215" s="165">
        <v>300</v>
      </c>
      <c r="G215" s="166">
        <v>1060</v>
      </c>
      <c r="H215" s="166">
        <v>0.60000000000000009</v>
      </c>
      <c r="I215" s="166">
        <v>3.75</v>
      </c>
      <c r="J215" s="166">
        <v>2.75</v>
      </c>
      <c r="K215" s="165">
        <v>3</v>
      </c>
      <c r="L215" s="165">
        <v>3.2250000000000014</v>
      </c>
      <c r="M215" s="166">
        <v>19.100000000000001</v>
      </c>
      <c r="N215" s="165">
        <v>16</v>
      </c>
      <c r="O215" s="166">
        <v>8.3000000000000007</v>
      </c>
      <c r="P215" s="166">
        <v>3</v>
      </c>
    </row>
    <row r="216" spans="1:16" x14ac:dyDescent="0.25">
      <c r="A216" s="165">
        <v>215</v>
      </c>
      <c r="B216" s="165">
        <v>0</v>
      </c>
      <c r="C216" s="165">
        <v>1</v>
      </c>
      <c r="D216" s="165">
        <v>0</v>
      </c>
      <c r="E216" s="165">
        <v>3</v>
      </c>
      <c r="F216" s="165">
        <v>200</v>
      </c>
      <c r="G216" s="166">
        <v>804</v>
      </c>
      <c r="H216" s="166">
        <v>0.4</v>
      </c>
      <c r="I216" s="166">
        <v>3.65</v>
      </c>
      <c r="J216" s="166">
        <v>2.85</v>
      </c>
      <c r="K216" s="165">
        <v>2</v>
      </c>
      <c r="L216" s="165">
        <v>2.0250000000000012</v>
      </c>
      <c r="M216" s="166">
        <v>19.600000000000001</v>
      </c>
      <c r="N216" s="165">
        <v>16</v>
      </c>
      <c r="O216" s="166">
        <v>7.4</v>
      </c>
      <c r="P216" s="166">
        <v>2.7</v>
      </c>
    </row>
    <row r="217" spans="1:16" x14ac:dyDescent="0.25">
      <c r="A217" s="165">
        <v>216</v>
      </c>
      <c r="B217" s="165">
        <v>0</v>
      </c>
      <c r="C217" s="165">
        <v>0</v>
      </c>
      <c r="D217" s="165">
        <v>1</v>
      </c>
      <c r="E217" s="165">
        <v>4.5</v>
      </c>
      <c r="F217" s="165">
        <v>240</v>
      </c>
      <c r="G217" s="166">
        <v>960</v>
      </c>
      <c r="H217" s="166">
        <v>0.60000000000000009</v>
      </c>
      <c r="I217" s="166">
        <v>3.8</v>
      </c>
      <c r="J217" s="166">
        <v>2.8</v>
      </c>
      <c r="K217" s="165">
        <v>3</v>
      </c>
      <c r="L217" s="165">
        <v>3.2250000000000014</v>
      </c>
      <c r="M217" s="166">
        <v>19.5</v>
      </c>
      <c r="N217" s="165">
        <v>16</v>
      </c>
      <c r="O217" s="166">
        <v>5.5</v>
      </c>
      <c r="P217" s="166">
        <v>2.8</v>
      </c>
    </row>
    <row r="218" spans="1:16" x14ac:dyDescent="0.25">
      <c r="A218" s="165">
        <v>217</v>
      </c>
      <c r="B218" s="165">
        <v>1</v>
      </c>
      <c r="C218" s="165">
        <v>0</v>
      </c>
      <c r="D218" s="165">
        <v>0</v>
      </c>
      <c r="E218" s="165">
        <v>3.75</v>
      </c>
      <c r="F218" s="165">
        <v>200</v>
      </c>
      <c r="G218" s="166">
        <v>565</v>
      </c>
      <c r="H218" s="166">
        <v>0.5</v>
      </c>
      <c r="I218" s="166">
        <v>3.75</v>
      </c>
      <c r="J218" s="166">
        <v>2.75</v>
      </c>
      <c r="K218" s="165">
        <v>2.5</v>
      </c>
      <c r="L218" s="165">
        <v>2.6000000000000014</v>
      </c>
      <c r="M218" s="166">
        <v>19.5</v>
      </c>
      <c r="N218" s="165">
        <v>17</v>
      </c>
      <c r="O218" s="166">
        <v>6.7</v>
      </c>
      <c r="P218" s="166">
        <v>2.6</v>
      </c>
    </row>
    <row r="219" spans="1:16" x14ac:dyDescent="0.25">
      <c r="A219" s="165">
        <v>218</v>
      </c>
      <c r="B219" s="165">
        <v>0</v>
      </c>
      <c r="C219" s="165">
        <v>1</v>
      </c>
      <c r="D219" s="165">
        <v>0</v>
      </c>
      <c r="E219" s="165">
        <v>3</v>
      </c>
      <c r="F219" s="165">
        <v>160</v>
      </c>
      <c r="G219" s="166">
        <v>827</v>
      </c>
      <c r="H219" s="166">
        <v>0.4</v>
      </c>
      <c r="I219" s="166">
        <v>3.65</v>
      </c>
      <c r="J219" s="166">
        <v>2.85</v>
      </c>
      <c r="K219" s="165">
        <v>2</v>
      </c>
      <c r="L219" s="165">
        <v>2.0000000000000013</v>
      </c>
      <c r="M219" s="166">
        <v>20.6</v>
      </c>
      <c r="N219" s="165">
        <v>17</v>
      </c>
      <c r="O219" s="166">
        <v>5.9</v>
      </c>
      <c r="P219" s="166">
        <v>2.5</v>
      </c>
    </row>
    <row r="220" spans="1:16" x14ac:dyDescent="0.25">
      <c r="A220" s="165">
        <v>219</v>
      </c>
      <c r="B220" s="165">
        <v>0</v>
      </c>
      <c r="C220" s="165">
        <v>0</v>
      </c>
      <c r="D220" s="165">
        <v>1</v>
      </c>
      <c r="E220" s="165">
        <v>3.75</v>
      </c>
      <c r="F220" s="165">
        <v>250</v>
      </c>
      <c r="G220" s="166">
        <v>560</v>
      </c>
      <c r="H220" s="166">
        <v>0.5</v>
      </c>
      <c r="I220" s="166">
        <v>3.8</v>
      </c>
      <c r="J220" s="166">
        <v>2.8</v>
      </c>
      <c r="K220" s="165">
        <v>2.5</v>
      </c>
      <c r="L220" s="165">
        <v>2.6000000000000014</v>
      </c>
      <c r="M220" s="166">
        <v>20.9</v>
      </c>
      <c r="N220" s="165">
        <v>17</v>
      </c>
      <c r="O220" s="166">
        <v>7.65</v>
      </c>
      <c r="P220" s="166">
        <v>2.5</v>
      </c>
    </row>
    <row r="221" spans="1:16" x14ac:dyDescent="0.25">
      <c r="A221" s="165">
        <v>220</v>
      </c>
      <c r="B221" s="165">
        <v>1</v>
      </c>
      <c r="C221" s="165">
        <v>0</v>
      </c>
      <c r="D221" s="165">
        <v>0</v>
      </c>
      <c r="E221" s="165">
        <v>4.5</v>
      </c>
      <c r="F221" s="165">
        <v>300</v>
      </c>
      <c r="G221" s="166">
        <v>1060</v>
      </c>
      <c r="H221" s="166">
        <v>0.60000000000000009</v>
      </c>
      <c r="I221" s="166">
        <v>3.75</v>
      </c>
      <c r="J221" s="166">
        <v>2.75</v>
      </c>
      <c r="K221" s="165">
        <v>3</v>
      </c>
      <c r="L221" s="165">
        <v>3.2000000000000015</v>
      </c>
      <c r="M221" s="166">
        <v>19.100000000000001</v>
      </c>
      <c r="N221" s="165">
        <v>17</v>
      </c>
      <c r="O221" s="166">
        <v>8</v>
      </c>
      <c r="P221" s="166">
        <v>3</v>
      </c>
    </row>
    <row r="222" spans="1:16" x14ac:dyDescent="0.25">
      <c r="A222" s="165">
        <v>221</v>
      </c>
      <c r="B222" s="165">
        <v>0</v>
      </c>
      <c r="C222" s="165">
        <v>1</v>
      </c>
      <c r="D222" s="165">
        <v>0</v>
      </c>
      <c r="E222" s="165">
        <v>3</v>
      </c>
      <c r="F222" s="165">
        <v>200</v>
      </c>
      <c r="G222" s="166">
        <v>804</v>
      </c>
      <c r="H222" s="166">
        <v>0.4</v>
      </c>
      <c r="I222" s="166">
        <v>3.65</v>
      </c>
      <c r="J222" s="166">
        <v>2.85</v>
      </c>
      <c r="K222" s="165">
        <v>2</v>
      </c>
      <c r="L222" s="165">
        <v>2.0000000000000013</v>
      </c>
      <c r="M222" s="166">
        <v>19.600000000000001</v>
      </c>
      <c r="N222" s="165">
        <v>17</v>
      </c>
      <c r="O222" s="166">
        <v>7.25</v>
      </c>
      <c r="P222" s="166">
        <v>2.6</v>
      </c>
    </row>
    <row r="223" spans="1:16" x14ac:dyDescent="0.25">
      <c r="A223" s="165">
        <v>222</v>
      </c>
      <c r="B223" s="165">
        <v>0</v>
      </c>
      <c r="C223" s="165">
        <v>0</v>
      </c>
      <c r="D223" s="165">
        <v>1</v>
      </c>
      <c r="E223" s="165">
        <v>4.5</v>
      </c>
      <c r="F223" s="165">
        <v>240</v>
      </c>
      <c r="G223" s="166">
        <v>960</v>
      </c>
      <c r="H223" s="166">
        <v>0.60000000000000009</v>
      </c>
      <c r="I223" s="166">
        <v>3.8</v>
      </c>
      <c r="J223" s="166">
        <v>2.8</v>
      </c>
      <c r="K223" s="165">
        <v>3</v>
      </c>
      <c r="L223" s="165">
        <v>3.2000000000000015</v>
      </c>
      <c r="M223" s="166">
        <v>19.5</v>
      </c>
      <c r="N223" s="165">
        <v>17</v>
      </c>
      <c r="O223" s="166">
        <v>5.25</v>
      </c>
      <c r="P223" s="166">
        <v>2.8</v>
      </c>
    </row>
    <row r="224" spans="1:16" x14ac:dyDescent="0.25">
      <c r="A224" s="165">
        <v>223</v>
      </c>
      <c r="B224" s="165">
        <v>1</v>
      </c>
      <c r="C224" s="165">
        <v>0</v>
      </c>
      <c r="D224" s="165">
        <v>0</v>
      </c>
      <c r="E224" s="165">
        <v>3.75</v>
      </c>
      <c r="F224" s="165">
        <v>200</v>
      </c>
      <c r="G224" s="166">
        <v>565</v>
      </c>
      <c r="H224" s="166">
        <v>0.5</v>
      </c>
      <c r="I224" s="166">
        <v>3.75</v>
      </c>
      <c r="J224" s="166">
        <v>2.75</v>
      </c>
      <c r="K224" s="165">
        <v>2.5</v>
      </c>
      <c r="L224" s="165">
        <v>2.5750000000000015</v>
      </c>
      <c r="M224" s="166">
        <v>19.5</v>
      </c>
      <c r="N224" s="165">
        <v>18</v>
      </c>
      <c r="O224" s="166">
        <v>6.65</v>
      </c>
      <c r="P224" s="166">
        <v>2.6</v>
      </c>
    </row>
    <row r="225" spans="1:16" x14ac:dyDescent="0.25">
      <c r="A225" s="165">
        <v>224</v>
      </c>
      <c r="B225" s="165">
        <v>0</v>
      </c>
      <c r="C225" s="165">
        <v>1</v>
      </c>
      <c r="D225" s="165">
        <v>0</v>
      </c>
      <c r="E225" s="165">
        <v>3</v>
      </c>
      <c r="F225" s="165">
        <v>160</v>
      </c>
      <c r="G225" s="166">
        <v>827</v>
      </c>
      <c r="H225" s="166">
        <v>0.4</v>
      </c>
      <c r="I225" s="166">
        <v>3.65</v>
      </c>
      <c r="J225" s="166">
        <v>2.85</v>
      </c>
      <c r="K225" s="165">
        <v>2</v>
      </c>
      <c r="L225" s="165">
        <v>1.9750000000000014</v>
      </c>
      <c r="M225" s="166">
        <v>20.6</v>
      </c>
      <c r="N225" s="165">
        <v>18</v>
      </c>
      <c r="O225" s="166">
        <v>5.9</v>
      </c>
      <c r="P225" s="166">
        <v>2.5</v>
      </c>
    </row>
    <row r="226" spans="1:16" x14ac:dyDescent="0.25">
      <c r="A226" s="165">
        <v>225</v>
      </c>
      <c r="B226" s="165">
        <v>0</v>
      </c>
      <c r="C226" s="165">
        <v>0</v>
      </c>
      <c r="D226" s="165">
        <v>1</v>
      </c>
      <c r="E226" s="165">
        <v>3.75</v>
      </c>
      <c r="F226" s="165">
        <v>250</v>
      </c>
      <c r="G226" s="166">
        <v>560</v>
      </c>
      <c r="H226" s="166">
        <v>0.5</v>
      </c>
      <c r="I226" s="166">
        <v>3.8</v>
      </c>
      <c r="J226" s="166">
        <v>2.8</v>
      </c>
      <c r="K226" s="165">
        <v>2.5</v>
      </c>
      <c r="L226" s="165">
        <v>2.5750000000000015</v>
      </c>
      <c r="M226" s="166">
        <v>20.9</v>
      </c>
      <c r="N226" s="165">
        <v>18</v>
      </c>
      <c r="O226" s="166">
        <v>7.6</v>
      </c>
      <c r="P226" s="166">
        <v>2.5</v>
      </c>
    </row>
    <row r="227" spans="1:16" x14ac:dyDescent="0.25">
      <c r="A227" s="165">
        <v>226</v>
      </c>
      <c r="B227" s="165">
        <v>1</v>
      </c>
      <c r="C227" s="165">
        <v>0</v>
      </c>
      <c r="D227" s="165">
        <v>0</v>
      </c>
      <c r="E227" s="165">
        <v>4.5</v>
      </c>
      <c r="F227" s="165">
        <v>300</v>
      </c>
      <c r="G227" s="166">
        <v>1060</v>
      </c>
      <c r="H227" s="166">
        <v>0.60000000000000009</v>
      </c>
      <c r="I227" s="166">
        <v>3.75</v>
      </c>
      <c r="J227" s="166">
        <v>2.75</v>
      </c>
      <c r="K227" s="165">
        <v>3</v>
      </c>
      <c r="L227" s="165">
        <v>3.1750000000000016</v>
      </c>
      <c r="M227" s="166">
        <v>19.100000000000001</v>
      </c>
      <c r="N227" s="165">
        <v>18</v>
      </c>
      <c r="O227" s="166">
        <v>7.8</v>
      </c>
      <c r="P227" s="166">
        <v>2.9</v>
      </c>
    </row>
    <row r="228" spans="1:16" x14ac:dyDescent="0.25">
      <c r="A228" s="165">
        <v>227</v>
      </c>
      <c r="B228" s="165">
        <v>0</v>
      </c>
      <c r="C228" s="165">
        <v>1</v>
      </c>
      <c r="D228" s="165">
        <v>0</v>
      </c>
      <c r="E228" s="165">
        <v>3</v>
      </c>
      <c r="F228" s="165">
        <v>200</v>
      </c>
      <c r="G228" s="166">
        <v>804</v>
      </c>
      <c r="H228" s="166">
        <v>0.4</v>
      </c>
      <c r="I228" s="166">
        <v>3.65</v>
      </c>
      <c r="J228" s="166">
        <v>2.85</v>
      </c>
      <c r="K228" s="165">
        <v>2</v>
      </c>
      <c r="L228" s="165">
        <v>1.9750000000000014</v>
      </c>
      <c r="M228" s="166">
        <v>19.600000000000001</v>
      </c>
      <c r="N228" s="165">
        <v>18</v>
      </c>
      <c r="O228" s="166">
        <v>7.15</v>
      </c>
      <c r="P228" s="166">
        <v>2.6</v>
      </c>
    </row>
    <row r="229" spans="1:16" x14ac:dyDescent="0.25">
      <c r="A229" s="165">
        <v>228</v>
      </c>
      <c r="B229" s="165">
        <v>0</v>
      </c>
      <c r="C229" s="165">
        <v>0</v>
      </c>
      <c r="D229" s="165">
        <v>1</v>
      </c>
      <c r="E229" s="165">
        <v>4.5</v>
      </c>
      <c r="F229" s="165">
        <v>240</v>
      </c>
      <c r="G229" s="166">
        <v>960</v>
      </c>
      <c r="H229" s="166">
        <v>0.60000000000000009</v>
      </c>
      <c r="I229" s="166">
        <v>3.8</v>
      </c>
      <c r="J229" s="166">
        <v>2.8</v>
      </c>
      <c r="K229" s="165">
        <v>3</v>
      </c>
      <c r="L229" s="165">
        <v>3.1750000000000016</v>
      </c>
      <c r="M229" s="166">
        <v>19.5</v>
      </c>
      <c r="N229" s="165">
        <v>18</v>
      </c>
      <c r="O229" s="166">
        <v>5.35</v>
      </c>
      <c r="P229" s="166">
        <v>2.75</v>
      </c>
    </row>
    <row r="230" spans="1:16" x14ac:dyDescent="0.25">
      <c r="A230" s="165">
        <v>229</v>
      </c>
      <c r="B230" s="165">
        <v>1</v>
      </c>
      <c r="C230" s="165">
        <v>0</v>
      </c>
      <c r="D230" s="165">
        <v>0</v>
      </c>
      <c r="E230" s="165">
        <v>3.75</v>
      </c>
      <c r="F230" s="165">
        <v>200</v>
      </c>
      <c r="G230" s="166">
        <v>565</v>
      </c>
      <c r="H230" s="166">
        <v>0.5</v>
      </c>
      <c r="I230" s="166">
        <v>3.75</v>
      </c>
      <c r="J230" s="166">
        <v>2.75</v>
      </c>
      <c r="K230" s="165">
        <v>2.5</v>
      </c>
      <c r="L230" s="165">
        <v>2.5500000000000016</v>
      </c>
      <c r="M230" s="166">
        <v>19.5</v>
      </c>
      <c r="N230" s="165">
        <v>19</v>
      </c>
      <c r="O230" s="166">
        <v>6.9</v>
      </c>
      <c r="P230" s="166">
        <v>2.6</v>
      </c>
    </row>
    <row r="231" spans="1:16" x14ac:dyDescent="0.25">
      <c r="A231" s="165">
        <v>230</v>
      </c>
      <c r="B231" s="165">
        <v>0</v>
      </c>
      <c r="C231" s="165">
        <v>1</v>
      </c>
      <c r="D231" s="165">
        <v>0</v>
      </c>
      <c r="E231" s="165">
        <v>3</v>
      </c>
      <c r="F231" s="165">
        <v>160</v>
      </c>
      <c r="G231" s="166">
        <v>827</v>
      </c>
      <c r="H231" s="166">
        <v>0.4</v>
      </c>
      <c r="I231" s="166">
        <v>3.65</v>
      </c>
      <c r="J231" s="166">
        <v>2.85</v>
      </c>
      <c r="K231" s="165">
        <v>2</v>
      </c>
      <c r="L231" s="165">
        <v>1.9500000000000015</v>
      </c>
      <c r="M231" s="166">
        <v>20.6</v>
      </c>
      <c r="N231" s="165">
        <v>19</v>
      </c>
      <c r="O231" s="166">
        <v>6</v>
      </c>
      <c r="P231" s="166">
        <v>2.5</v>
      </c>
    </row>
    <row r="232" spans="1:16" x14ac:dyDescent="0.25">
      <c r="A232" s="165">
        <v>231</v>
      </c>
      <c r="B232" s="165">
        <v>0</v>
      </c>
      <c r="C232" s="165">
        <v>0</v>
      </c>
      <c r="D232" s="165">
        <v>1</v>
      </c>
      <c r="E232" s="165">
        <v>3.75</v>
      </c>
      <c r="F232" s="165">
        <v>250</v>
      </c>
      <c r="G232" s="166">
        <v>560</v>
      </c>
      <c r="H232" s="166">
        <v>0.5</v>
      </c>
      <c r="I232" s="166">
        <v>3.8</v>
      </c>
      <c r="J232" s="166">
        <v>2.8</v>
      </c>
      <c r="K232" s="165">
        <v>2.5</v>
      </c>
      <c r="L232" s="165">
        <v>2.5500000000000016</v>
      </c>
      <c r="M232" s="166">
        <v>20.9</v>
      </c>
      <c r="N232" s="165">
        <v>19</v>
      </c>
      <c r="O232" s="166">
        <v>7.8</v>
      </c>
      <c r="P232" s="166">
        <v>2.5</v>
      </c>
    </row>
    <row r="233" spans="1:16" x14ac:dyDescent="0.25">
      <c r="A233" s="165">
        <v>232</v>
      </c>
      <c r="B233" s="165">
        <v>1</v>
      </c>
      <c r="C233" s="165">
        <v>0</v>
      </c>
      <c r="D233" s="165">
        <v>0</v>
      </c>
      <c r="E233" s="165">
        <v>4.5</v>
      </c>
      <c r="F233" s="165">
        <v>300</v>
      </c>
      <c r="G233" s="166">
        <v>1060</v>
      </c>
      <c r="H233" s="166">
        <v>0.60000000000000009</v>
      </c>
      <c r="I233" s="166">
        <v>3.75</v>
      </c>
      <c r="J233" s="166">
        <v>2.75</v>
      </c>
      <c r="K233" s="165">
        <v>3</v>
      </c>
      <c r="L233" s="165">
        <v>3.1500000000000017</v>
      </c>
      <c r="M233" s="166">
        <v>19.100000000000001</v>
      </c>
      <c r="N233" s="165">
        <v>19</v>
      </c>
      <c r="O233" s="166">
        <v>7.8</v>
      </c>
      <c r="P233" s="166">
        <v>2.9</v>
      </c>
    </row>
    <row r="234" spans="1:16" x14ac:dyDescent="0.25">
      <c r="A234" s="165">
        <v>233</v>
      </c>
      <c r="B234" s="165">
        <v>0</v>
      </c>
      <c r="C234" s="165">
        <v>1</v>
      </c>
      <c r="D234" s="165">
        <v>0</v>
      </c>
      <c r="E234" s="165">
        <v>3</v>
      </c>
      <c r="F234" s="165">
        <v>200</v>
      </c>
      <c r="G234" s="166">
        <v>804</v>
      </c>
      <c r="H234" s="166">
        <v>0.4</v>
      </c>
      <c r="I234" s="166">
        <v>3.65</v>
      </c>
      <c r="J234" s="166">
        <v>2.85</v>
      </c>
      <c r="K234" s="165">
        <v>2</v>
      </c>
      <c r="L234" s="165">
        <v>1.9500000000000015</v>
      </c>
      <c r="M234" s="166">
        <v>19.600000000000001</v>
      </c>
      <c r="N234" s="165">
        <v>19</v>
      </c>
      <c r="O234" s="166">
        <v>7.2</v>
      </c>
      <c r="P234" s="166">
        <v>2.6</v>
      </c>
    </row>
    <row r="235" spans="1:16" x14ac:dyDescent="0.25">
      <c r="A235" s="165">
        <v>234</v>
      </c>
      <c r="B235" s="165">
        <v>0</v>
      </c>
      <c r="C235" s="165">
        <v>0</v>
      </c>
      <c r="D235" s="165">
        <v>1</v>
      </c>
      <c r="E235" s="165">
        <v>4.5</v>
      </c>
      <c r="F235" s="165">
        <v>240</v>
      </c>
      <c r="G235" s="166">
        <v>960</v>
      </c>
      <c r="H235" s="166">
        <v>0.60000000000000009</v>
      </c>
      <c r="I235" s="166">
        <v>3.8</v>
      </c>
      <c r="J235" s="166">
        <v>2.8</v>
      </c>
      <c r="K235" s="165">
        <v>3</v>
      </c>
      <c r="L235" s="165">
        <v>3.1500000000000017</v>
      </c>
      <c r="M235" s="166">
        <v>19.5</v>
      </c>
      <c r="N235" s="165">
        <v>19</v>
      </c>
      <c r="O235" s="166">
        <v>5.3</v>
      </c>
      <c r="P235" s="166">
        <v>2.7</v>
      </c>
    </row>
    <row r="236" spans="1:16" x14ac:dyDescent="0.25">
      <c r="A236" s="165">
        <v>235</v>
      </c>
      <c r="B236" s="165">
        <v>1</v>
      </c>
      <c r="C236" s="165">
        <v>0</v>
      </c>
      <c r="D236" s="165">
        <v>0</v>
      </c>
      <c r="E236" s="165">
        <v>3.75</v>
      </c>
      <c r="F236" s="165">
        <v>200</v>
      </c>
      <c r="G236" s="166">
        <v>565</v>
      </c>
      <c r="H236" s="166">
        <v>0.5</v>
      </c>
      <c r="I236" s="166">
        <v>3.75</v>
      </c>
      <c r="J236" s="166">
        <v>2.75</v>
      </c>
      <c r="K236" s="165">
        <v>2.5</v>
      </c>
      <c r="L236" s="165">
        <v>2.5250000000000017</v>
      </c>
      <c r="M236" s="166">
        <v>19.5</v>
      </c>
      <c r="N236" s="165">
        <v>20</v>
      </c>
      <c r="O236" s="166">
        <v>6.85</v>
      </c>
      <c r="P236" s="166">
        <v>2.5</v>
      </c>
    </row>
    <row r="237" spans="1:16" x14ac:dyDescent="0.25">
      <c r="A237" s="165">
        <v>236</v>
      </c>
      <c r="B237" s="165">
        <v>0</v>
      </c>
      <c r="C237" s="165">
        <v>1</v>
      </c>
      <c r="D237" s="165">
        <v>0</v>
      </c>
      <c r="E237" s="165">
        <v>3</v>
      </c>
      <c r="F237" s="165">
        <v>160</v>
      </c>
      <c r="G237" s="166">
        <v>827</v>
      </c>
      <c r="H237" s="166">
        <v>0.4</v>
      </c>
      <c r="I237" s="166">
        <v>3.65</v>
      </c>
      <c r="J237" s="166">
        <v>2.85</v>
      </c>
      <c r="K237" s="165">
        <v>2</v>
      </c>
      <c r="L237" s="165">
        <v>1.9250000000000016</v>
      </c>
      <c r="M237" s="166">
        <v>20.6</v>
      </c>
      <c r="N237" s="165">
        <v>20</v>
      </c>
      <c r="O237" s="166">
        <v>5.9</v>
      </c>
      <c r="P237" s="166">
        <v>2.5</v>
      </c>
    </row>
    <row r="238" spans="1:16" x14ac:dyDescent="0.25">
      <c r="A238" s="165">
        <v>237</v>
      </c>
      <c r="B238" s="165">
        <v>0</v>
      </c>
      <c r="C238" s="165">
        <v>0</v>
      </c>
      <c r="D238" s="165">
        <v>1</v>
      </c>
      <c r="E238" s="165">
        <v>3.75</v>
      </c>
      <c r="F238" s="165">
        <v>250</v>
      </c>
      <c r="G238" s="166">
        <v>560</v>
      </c>
      <c r="H238" s="166">
        <v>0.5</v>
      </c>
      <c r="I238" s="166">
        <v>3.8</v>
      </c>
      <c r="J238" s="166">
        <v>2.8</v>
      </c>
      <c r="K238" s="165">
        <v>2.5</v>
      </c>
      <c r="L238" s="165">
        <v>2.5250000000000017</v>
      </c>
      <c r="M238" s="166">
        <v>20.9</v>
      </c>
      <c r="N238" s="165">
        <v>20</v>
      </c>
      <c r="O238" s="166">
        <v>7.8</v>
      </c>
      <c r="P238" s="166">
        <v>2.5</v>
      </c>
    </row>
    <row r="239" spans="1:16" x14ac:dyDescent="0.25">
      <c r="A239" s="165">
        <v>238</v>
      </c>
      <c r="B239" s="165">
        <v>1</v>
      </c>
      <c r="C239" s="165">
        <v>0</v>
      </c>
      <c r="D239" s="165">
        <v>0</v>
      </c>
      <c r="E239" s="165">
        <v>4.5</v>
      </c>
      <c r="F239" s="165">
        <v>300</v>
      </c>
      <c r="G239" s="166">
        <v>1060</v>
      </c>
      <c r="H239" s="166">
        <v>0.60000000000000009</v>
      </c>
      <c r="I239" s="166">
        <v>3.75</v>
      </c>
      <c r="J239" s="166">
        <v>2.75</v>
      </c>
      <c r="K239" s="165">
        <v>3</v>
      </c>
      <c r="L239" s="165">
        <v>3.1250000000000018</v>
      </c>
      <c r="M239" s="166">
        <v>19.100000000000001</v>
      </c>
      <c r="N239" s="165">
        <v>20</v>
      </c>
      <c r="O239" s="166">
        <v>7.45</v>
      </c>
      <c r="P239" s="166">
        <v>2.9</v>
      </c>
    </row>
    <row r="240" spans="1:16" x14ac:dyDescent="0.25">
      <c r="A240" s="165">
        <v>239</v>
      </c>
      <c r="B240" s="165">
        <v>0</v>
      </c>
      <c r="C240" s="165">
        <v>1</v>
      </c>
      <c r="D240" s="165">
        <v>0</v>
      </c>
      <c r="E240" s="165">
        <v>3</v>
      </c>
      <c r="F240" s="165">
        <v>200</v>
      </c>
      <c r="G240" s="166">
        <v>804</v>
      </c>
      <c r="H240" s="166">
        <v>0.4</v>
      </c>
      <c r="I240" s="166">
        <v>3.65</v>
      </c>
      <c r="J240" s="166">
        <v>2.85</v>
      </c>
      <c r="K240" s="165">
        <v>2</v>
      </c>
      <c r="L240" s="165">
        <v>1.9250000000000016</v>
      </c>
      <c r="M240" s="166">
        <v>19.600000000000001</v>
      </c>
      <c r="N240" s="165">
        <v>20</v>
      </c>
      <c r="O240" s="166">
        <v>6.9</v>
      </c>
      <c r="P240" s="166">
        <v>2.5</v>
      </c>
    </row>
    <row r="241" spans="1:16" x14ac:dyDescent="0.25">
      <c r="A241" s="165">
        <v>240</v>
      </c>
      <c r="B241" s="165">
        <v>0</v>
      </c>
      <c r="C241" s="165">
        <v>0</v>
      </c>
      <c r="D241" s="165">
        <v>1</v>
      </c>
      <c r="E241" s="165">
        <v>4.5</v>
      </c>
      <c r="F241" s="165">
        <v>240</v>
      </c>
      <c r="G241" s="166">
        <v>960</v>
      </c>
      <c r="H241" s="166">
        <v>0.60000000000000009</v>
      </c>
      <c r="I241" s="166">
        <v>3.8</v>
      </c>
      <c r="J241" s="166">
        <v>2.8</v>
      </c>
      <c r="K241" s="165">
        <v>3</v>
      </c>
      <c r="L241" s="165">
        <v>3.1250000000000018</v>
      </c>
      <c r="M241" s="166">
        <v>19.5</v>
      </c>
      <c r="N241" s="165">
        <v>20</v>
      </c>
      <c r="O241" s="166">
        <v>5.25</v>
      </c>
      <c r="P241" s="166">
        <v>2.7</v>
      </c>
    </row>
    <row r="242" spans="1:16" x14ac:dyDescent="0.25">
      <c r="A242" s="170">
        <v>241</v>
      </c>
      <c r="B242" s="170">
        <v>1</v>
      </c>
      <c r="C242" s="170">
        <v>0</v>
      </c>
      <c r="D242" s="170">
        <v>0</v>
      </c>
      <c r="E242" s="170">
        <v>6</v>
      </c>
      <c r="F242" s="170">
        <v>140</v>
      </c>
      <c r="G242" s="169">
        <v>1004</v>
      </c>
      <c r="H242" s="169">
        <v>0.6</v>
      </c>
      <c r="I242" s="169">
        <v>6.85</v>
      </c>
      <c r="J242" s="170">
        <v>2.5</v>
      </c>
      <c r="K242" s="170">
        <v>2</v>
      </c>
      <c r="L242" s="169">
        <v>2</v>
      </c>
      <c r="M242" s="169">
        <v>21.5</v>
      </c>
      <c r="N242" s="170">
        <v>1</v>
      </c>
      <c r="O242" s="169">
        <v>6.85</v>
      </c>
      <c r="P242" s="169">
        <v>3.1</v>
      </c>
    </row>
    <row r="243" spans="1:16" x14ac:dyDescent="0.25">
      <c r="A243" s="170">
        <v>242</v>
      </c>
      <c r="B243" s="170">
        <v>0</v>
      </c>
      <c r="C243" s="170">
        <v>1</v>
      </c>
      <c r="D243" s="170">
        <v>0</v>
      </c>
      <c r="E243" s="170">
        <v>6</v>
      </c>
      <c r="F243" s="170">
        <v>140</v>
      </c>
      <c r="G243" s="169">
        <v>917</v>
      </c>
      <c r="H243" s="169">
        <v>0.3</v>
      </c>
      <c r="I243" s="169">
        <v>5.9</v>
      </c>
      <c r="J243" s="170">
        <v>2.5</v>
      </c>
      <c r="K243" s="170">
        <v>2</v>
      </c>
      <c r="L243" s="169">
        <v>2</v>
      </c>
      <c r="M243" s="169">
        <v>19.600000000000001</v>
      </c>
      <c r="N243" s="170">
        <v>1</v>
      </c>
      <c r="O243" s="169">
        <v>6.9</v>
      </c>
      <c r="P243" s="169">
        <v>2.9</v>
      </c>
    </row>
    <row r="244" spans="1:16" x14ac:dyDescent="0.25">
      <c r="A244" s="170">
        <v>243</v>
      </c>
      <c r="B244" s="170">
        <v>0</v>
      </c>
      <c r="C244" s="170">
        <v>0</v>
      </c>
      <c r="D244" s="170">
        <v>1</v>
      </c>
      <c r="E244" s="170">
        <v>6</v>
      </c>
      <c r="F244" s="170">
        <v>140</v>
      </c>
      <c r="G244" s="169">
        <v>934</v>
      </c>
      <c r="H244" s="169">
        <v>0.3</v>
      </c>
      <c r="I244" s="169">
        <v>7.8</v>
      </c>
      <c r="J244" s="170">
        <v>2.5</v>
      </c>
      <c r="K244" s="170">
        <v>2</v>
      </c>
      <c r="L244" s="169">
        <v>2</v>
      </c>
      <c r="M244" s="169">
        <v>20.5</v>
      </c>
      <c r="N244" s="170">
        <v>1</v>
      </c>
      <c r="O244" s="169">
        <v>8</v>
      </c>
      <c r="P244" s="169">
        <v>3</v>
      </c>
    </row>
    <row r="245" spans="1:16" x14ac:dyDescent="0.25">
      <c r="A245" s="170">
        <v>244</v>
      </c>
      <c r="B245" s="170">
        <v>1</v>
      </c>
      <c r="C245" s="170">
        <v>0</v>
      </c>
      <c r="D245" s="170">
        <v>0</v>
      </c>
      <c r="E245" s="170">
        <v>9</v>
      </c>
      <c r="F245" s="170">
        <v>140</v>
      </c>
      <c r="G245" s="169">
        <v>884</v>
      </c>
      <c r="H245" s="169">
        <v>0.3</v>
      </c>
      <c r="I245" s="169">
        <v>6.85</v>
      </c>
      <c r="J245" s="170">
        <v>2.5</v>
      </c>
      <c r="K245" s="170">
        <v>2</v>
      </c>
      <c r="L245" s="169">
        <v>2</v>
      </c>
      <c r="M245" s="169">
        <v>22.5</v>
      </c>
      <c r="N245" s="170">
        <v>1</v>
      </c>
      <c r="O245" s="169">
        <v>7.4</v>
      </c>
      <c r="P245" s="169">
        <v>3.2</v>
      </c>
    </row>
    <row r="246" spans="1:16" x14ac:dyDescent="0.25">
      <c r="A246" s="170">
        <v>245</v>
      </c>
      <c r="B246" s="170">
        <v>0</v>
      </c>
      <c r="C246" s="170">
        <v>1</v>
      </c>
      <c r="D246" s="170">
        <v>0</v>
      </c>
      <c r="E246" s="170">
        <v>9</v>
      </c>
      <c r="F246" s="170">
        <v>140</v>
      </c>
      <c r="G246" s="169">
        <v>909</v>
      </c>
      <c r="H246" s="169">
        <v>0.3</v>
      </c>
      <c r="I246" s="169">
        <v>5.9</v>
      </c>
      <c r="J246" s="170">
        <v>2.5</v>
      </c>
      <c r="K246" s="170">
        <v>2</v>
      </c>
      <c r="L246" s="169">
        <v>2</v>
      </c>
      <c r="M246" s="169">
        <v>22.1</v>
      </c>
      <c r="N246" s="170">
        <v>1</v>
      </c>
      <c r="O246" s="169">
        <v>6.1</v>
      </c>
      <c r="P246" s="169">
        <v>2.8</v>
      </c>
    </row>
    <row r="247" spans="1:16" x14ac:dyDescent="0.25">
      <c r="A247" s="170">
        <v>246</v>
      </c>
      <c r="B247" s="170">
        <v>0</v>
      </c>
      <c r="C247" s="170">
        <v>0</v>
      </c>
      <c r="D247" s="170">
        <v>1</v>
      </c>
      <c r="E247" s="170">
        <v>9</v>
      </c>
      <c r="F247" s="170">
        <v>140</v>
      </c>
      <c r="G247" s="169">
        <v>926</v>
      </c>
      <c r="H247" s="169">
        <v>0.3</v>
      </c>
      <c r="I247" s="169">
        <v>7.8</v>
      </c>
      <c r="J247" s="170">
        <v>2.5</v>
      </c>
      <c r="K247" s="170">
        <v>2</v>
      </c>
      <c r="L247" s="169">
        <v>2</v>
      </c>
      <c r="M247" s="169">
        <v>22.3</v>
      </c>
      <c r="N247" s="170">
        <v>1</v>
      </c>
      <c r="O247" s="169">
        <v>7.1</v>
      </c>
      <c r="P247" s="169">
        <v>3.2</v>
      </c>
    </row>
    <row r="248" spans="1:16" x14ac:dyDescent="0.25">
      <c r="A248" s="170">
        <v>247</v>
      </c>
      <c r="B248" s="170">
        <v>1</v>
      </c>
      <c r="C248" s="170">
        <v>0</v>
      </c>
      <c r="D248" s="170">
        <v>0</v>
      </c>
      <c r="E248" s="170">
        <v>6</v>
      </c>
      <c r="F248" s="170">
        <v>140</v>
      </c>
      <c r="G248" s="169">
        <v>1004</v>
      </c>
      <c r="H248" s="169">
        <v>0.6</v>
      </c>
      <c r="I248" s="169">
        <v>6.85</v>
      </c>
      <c r="J248" s="170">
        <v>2.5</v>
      </c>
      <c r="K248" s="170">
        <v>2</v>
      </c>
      <c r="L248" s="169">
        <v>1.9750000000000001</v>
      </c>
      <c r="M248" s="169">
        <v>20.9</v>
      </c>
      <c r="N248" s="170">
        <v>2</v>
      </c>
      <c r="O248" s="169">
        <v>6.75</v>
      </c>
      <c r="P248" s="169">
        <v>3</v>
      </c>
    </row>
    <row r="249" spans="1:16" x14ac:dyDescent="0.25">
      <c r="A249" s="170">
        <v>248</v>
      </c>
      <c r="B249" s="170">
        <v>0</v>
      </c>
      <c r="C249" s="170">
        <v>1</v>
      </c>
      <c r="D249" s="170">
        <v>0</v>
      </c>
      <c r="E249" s="170">
        <v>6</v>
      </c>
      <c r="F249" s="170">
        <v>140</v>
      </c>
      <c r="G249" s="169">
        <v>917</v>
      </c>
      <c r="H249" s="169">
        <v>0.3</v>
      </c>
      <c r="I249" s="169">
        <v>5.9</v>
      </c>
      <c r="J249" s="170">
        <v>2.5</v>
      </c>
      <c r="K249" s="170">
        <v>2</v>
      </c>
      <c r="L249" s="169">
        <v>1.9750000000000001</v>
      </c>
      <c r="M249" s="169">
        <v>19.5</v>
      </c>
      <c r="N249" s="170">
        <v>2</v>
      </c>
      <c r="O249" s="169">
        <v>7</v>
      </c>
      <c r="P249" s="169">
        <v>2.9</v>
      </c>
    </row>
    <row r="250" spans="1:16" x14ac:dyDescent="0.25">
      <c r="A250" s="170">
        <v>249</v>
      </c>
      <c r="B250" s="170">
        <v>0</v>
      </c>
      <c r="C250" s="170">
        <v>0</v>
      </c>
      <c r="D250" s="170">
        <v>1</v>
      </c>
      <c r="E250" s="170">
        <v>6</v>
      </c>
      <c r="F250" s="170">
        <v>140</v>
      </c>
      <c r="G250" s="169">
        <v>934</v>
      </c>
      <c r="H250" s="169">
        <v>0.3</v>
      </c>
      <c r="I250" s="169">
        <v>7.8</v>
      </c>
      <c r="J250" s="170">
        <v>2.5</v>
      </c>
      <c r="K250" s="170">
        <v>2</v>
      </c>
      <c r="L250" s="169">
        <v>1.9750000000000001</v>
      </c>
      <c r="M250" s="169">
        <v>20.5</v>
      </c>
      <c r="N250" s="170">
        <v>2</v>
      </c>
      <c r="O250" s="169">
        <v>7.5</v>
      </c>
      <c r="P250" s="169">
        <v>3</v>
      </c>
    </row>
    <row r="251" spans="1:16" x14ac:dyDescent="0.25">
      <c r="A251" s="170">
        <v>250</v>
      </c>
      <c r="B251" s="170">
        <v>1</v>
      </c>
      <c r="C251" s="170">
        <v>0</v>
      </c>
      <c r="D251" s="170">
        <v>0</v>
      </c>
      <c r="E251" s="170">
        <v>9</v>
      </c>
      <c r="F251" s="170">
        <v>140</v>
      </c>
      <c r="G251" s="169">
        <v>884</v>
      </c>
      <c r="H251" s="169">
        <v>0.3</v>
      </c>
      <c r="I251" s="169">
        <v>6.85</v>
      </c>
      <c r="J251" s="170">
        <v>2.5</v>
      </c>
      <c r="K251" s="170">
        <v>2</v>
      </c>
      <c r="L251" s="169">
        <v>1.9750000000000001</v>
      </c>
      <c r="M251" s="169">
        <v>22.8</v>
      </c>
      <c r="N251" s="170">
        <v>2</v>
      </c>
      <c r="O251" s="169">
        <v>7.5</v>
      </c>
      <c r="P251" s="169">
        <v>3.2</v>
      </c>
    </row>
    <row r="252" spans="1:16" x14ac:dyDescent="0.25">
      <c r="A252" s="170">
        <v>251</v>
      </c>
      <c r="B252" s="170">
        <v>0</v>
      </c>
      <c r="C252" s="170">
        <v>1</v>
      </c>
      <c r="D252" s="170">
        <v>0</v>
      </c>
      <c r="E252" s="170">
        <v>9</v>
      </c>
      <c r="F252" s="170">
        <v>140</v>
      </c>
      <c r="G252" s="169">
        <v>909</v>
      </c>
      <c r="H252" s="169">
        <v>0.3</v>
      </c>
      <c r="I252" s="169">
        <v>5.9</v>
      </c>
      <c r="J252" s="170">
        <v>2.5</v>
      </c>
      <c r="K252" s="170">
        <v>2</v>
      </c>
      <c r="L252" s="169">
        <v>1.9750000000000001</v>
      </c>
      <c r="M252" s="169">
        <v>22.2</v>
      </c>
      <c r="N252" s="170">
        <v>2</v>
      </c>
      <c r="O252" s="169">
        <v>6.35</v>
      </c>
      <c r="P252" s="169">
        <v>2.8</v>
      </c>
    </row>
    <row r="253" spans="1:16" x14ac:dyDescent="0.25">
      <c r="A253" s="170">
        <v>252</v>
      </c>
      <c r="B253" s="170">
        <v>0</v>
      </c>
      <c r="C253" s="170">
        <v>0</v>
      </c>
      <c r="D253" s="170">
        <v>1</v>
      </c>
      <c r="E253" s="170">
        <v>9</v>
      </c>
      <c r="F253" s="170">
        <v>140</v>
      </c>
      <c r="G253" s="169">
        <v>926</v>
      </c>
      <c r="H253" s="169">
        <v>0.3</v>
      </c>
      <c r="I253" s="169">
        <v>7.8</v>
      </c>
      <c r="J253" s="170">
        <v>2.5</v>
      </c>
      <c r="K253" s="170">
        <v>2</v>
      </c>
      <c r="L253" s="169">
        <v>1.9750000000000001</v>
      </c>
      <c r="M253" s="169">
        <v>21.5</v>
      </c>
      <c r="N253" s="170">
        <v>2</v>
      </c>
      <c r="O253" s="169">
        <v>7.15</v>
      </c>
      <c r="P253" s="169">
        <v>3.2</v>
      </c>
    </row>
    <row r="254" spans="1:16" x14ac:dyDescent="0.25">
      <c r="A254" s="170">
        <v>253</v>
      </c>
      <c r="B254" s="170">
        <v>1</v>
      </c>
      <c r="C254" s="170">
        <v>0</v>
      </c>
      <c r="D254" s="170">
        <v>0</v>
      </c>
      <c r="E254" s="170">
        <v>6</v>
      </c>
      <c r="F254" s="170">
        <v>140</v>
      </c>
      <c r="G254" s="169">
        <v>1004</v>
      </c>
      <c r="H254" s="169">
        <v>0.6</v>
      </c>
      <c r="I254" s="169">
        <v>6.85</v>
      </c>
      <c r="J254" s="170">
        <v>2.5</v>
      </c>
      <c r="K254" s="170">
        <v>2</v>
      </c>
      <c r="L254" s="169">
        <v>1.9500000000000002</v>
      </c>
      <c r="M254" s="169">
        <v>20.100000000000001</v>
      </c>
      <c r="N254" s="170">
        <v>3</v>
      </c>
      <c r="O254" s="169">
        <v>6.5</v>
      </c>
      <c r="P254" s="169">
        <v>3</v>
      </c>
    </row>
    <row r="255" spans="1:16" x14ac:dyDescent="0.25">
      <c r="A255" s="170">
        <v>254</v>
      </c>
      <c r="B255" s="170">
        <v>0</v>
      </c>
      <c r="C255" s="170">
        <v>1</v>
      </c>
      <c r="D255" s="170">
        <v>0</v>
      </c>
      <c r="E255" s="170">
        <v>6</v>
      </c>
      <c r="F255" s="170">
        <v>140</v>
      </c>
      <c r="G255" s="169">
        <v>917</v>
      </c>
      <c r="H255" s="169">
        <v>0.3</v>
      </c>
      <c r="I255" s="169">
        <v>5.9</v>
      </c>
      <c r="J255" s="170">
        <v>2.5</v>
      </c>
      <c r="K255" s="170">
        <v>2</v>
      </c>
      <c r="L255" s="169">
        <v>1.9500000000000002</v>
      </c>
      <c r="M255" s="169">
        <v>18.600000000000001</v>
      </c>
      <c r="N255" s="170">
        <v>3</v>
      </c>
      <c r="O255" s="169">
        <v>7.1</v>
      </c>
      <c r="P255" s="169">
        <v>2.9</v>
      </c>
    </row>
    <row r="256" spans="1:16" x14ac:dyDescent="0.25">
      <c r="A256" s="170">
        <v>255</v>
      </c>
      <c r="B256" s="170">
        <v>0</v>
      </c>
      <c r="C256" s="170">
        <v>0</v>
      </c>
      <c r="D256" s="170">
        <v>1</v>
      </c>
      <c r="E256" s="170">
        <v>6</v>
      </c>
      <c r="F256" s="170">
        <v>140</v>
      </c>
      <c r="G256" s="169">
        <v>934</v>
      </c>
      <c r="H256" s="169">
        <v>0.3</v>
      </c>
      <c r="I256" s="169">
        <v>7.8</v>
      </c>
      <c r="J256" s="170">
        <v>2.5</v>
      </c>
      <c r="K256" s="170">
        <v>2</v>
      </c>
      <c r="L256" s="169">
        <v>1.9500000000000002</v>
      </c>
      <c r="M256" s="169">
        <v>18.600000000000001</v>
      </c>
      <c r="N256" s="170">
        <v>3</v>
      </c>
      <c r="O256" s="169">
        <v>7.55</v>
      </c>
      <c r="P256" s="169">
        <v>2.9</v>
      </c>
    </row>
    <row r="257" spans="1:16" x14ac:dyDescent="0.25">
      <c r="A257" s="170">
        <v>256</v>
      </c>
      <c r="B257" s="170">
        <v>1</v>
      </c>
      <c r="C257" s="170">
        <v>0</v>
      </c>
      <c r="D257" s="170">
        <v>0</v>
      </c>
      <c r="E257" s="170">
        <v>9</v>
      </c>
      <c r="F257" s="170">
        <v>140</v>
      </c>
      <c r="G257" s="169">
        <v>884</v>
      </c>
      <c r="H257" s="169">
        <v>0.3</v>
      </c>
      <c r="I257" s="169">
        <v>6.85</v>
      </c>
      <c r="J257" s="170">
        <v>2.5</v>
      </c>
      <c r="K257" s="170">
        <v>2</v>
      </c>
      <c r="L257" s="169">
        <v>1.9500000000000002</v>
      </c>
      <c r="M257" s="169">
        <v>22.1</v>
      </c>
      <c r="N257" s="170">
        <v>3</v>
      </c>
      <c r="O257" s="169">
        <v>7.45</v>
      </c>
      <c r="P257" s="169">
        <v>3.1</v>
      </c>
    </row>
    <row r="258" spans="1:16" x14ac:dyDescent="0.25">
      <c r="A258" s="170">
        <v>257</v>
      </c>
      <c r="B258" s="170">
        <v>0</v>
      </c>
      <c r="C258" s="170">
        <v>1</v>
      </c>
      <c r="D258" s="170">
        <v>0</v>
      </c>
      <c r="E258" s="170">
        <v>9</v>
      </c>
      <c r="F258" s="170">
        <v>140</v>
      </c>
      <c r="G258" s="169">
        <v>909</v>
      </c>
      <c r="H258" s="169">
        <v>0.3</v>
      </c>
      <c r="I258" s="169">
        <v>5.9</v>
      </c>
      <c r="J258" s="170">
        <v>2.5</v>
      </c>
      <c r="K258" s="170">
        <v>2</v>
      </c>
      <c r="L258" s="169">
        <v>1.9500000000000002</v>
      </c>
      <c r="M258" s="169">
        <v>21.3</v>
      </c>
      <c r="N258" s="170">
        <v>3</v>
      </c>
      <c r="O258" s="169">
        <v>6.2</v>
      </c>
      <c r="P258" s="169">
        <v>2.8</v>
      </c>
    </row>
    <row r="259" spans="1:16" x14ac:dyDescent="0.25">
      <c r="A259" s="170">
        <v>258</v>
      </c>
      <c r="B259" s="170">
        <v>0</v>
      </c>
      <c r="C259" s="170">
        <v>0</v>
      </c>
      <c r="D259" s="170">
        <v>1</v>
      </c>
      <c r="E259" s="170">
        <v>9</v>
      </c>
      <c r="F259" s="170">
        <v>140</v>
      </c>
      <c r="G259" s="169">
        <v>926</v>
      </c>
      <c r="H259" s="169">
        <v>0.3</v>
      </c>
      <c r="I259" s="169">
        <v>7.8</v>
      </c>
      <c r="J259" s="170">
        <v>2.5</v>
      </c>
      <c r="K259" s="170">
        <v>2</v>
      </c>
      <c r="L259" s="169">
        <v>1.9500000000000002</v>
      </c>
      <c r="M259" s="169">
        <v>20.5</v>
      </c>
      <c r="N259" s="170">
        <v>3</v>
      </c>
      <c r="O259" s="169">
        <v>7.5</v>
      </c>
      <c r="P259" s="169">
        <v>3.2</v>
      </c>
    </row>
    <row r="260" spans="1:16" x14ac:dyDescent="0.25">
      <c r="A260" s="170">
        <v>259</v>
      </c>
      <c r="B260" s="170">
        <v>1</v>
      </c>
      <c r="C260" s="170">
        <v>0</v>
      </c>
      <c r="D260" s="170">
        <v>0</v>
      </c>
      <c r="E260" s="170">
        <v>6</v>
      </c>
      <c r="F260" s="170">
        <v>140</v>
      </c>
      <c r="G260" s="169">
        <v>1004</v>
      </c>
      <c r="H260" s="169">
        <v>0.6</v>
      </c>
      <c r="I260" s="169">
        <v>6.85</v>
      </c>
      <c r="J260" s="170">
        <v>2.5</v>
      </c>
      <c r="K260" s="170">
        <v>2</v>
      </c>
      <c r="L260" s="169">
        <v>1.9250000000000003</v>
      </c>
      <c r="M260" s="169">
        <v>20.100000000000001</v>
      </c>
      <c r="N260" s="170">
        <v>4</v>
      </c>
      <c r="O260" s="169">
        <v>6.6</v>
      </c>
      <c r="P260" s="169">
        <v>2.9</v>
      </c>
    </row>
    <row r="261" spans="1:16" x14ac:dyDescent="0.25">
      <c r="A261" s="170">
        <v>260</v>
      </c>
      <c r="B261" s="170">
        <v>0</v>
      </c>
      <c r="C261" s="170">
        <v>1</v>
      </c>
      <c r="D261" s="170">
        <v>0</v>
      </c>
      <c r="E261" s="170">
        <v>6</v>
      </c>
      <c r="F261" s="170">
        <v>140</v>
      </c>
      <c r="G261" s="169">
        <v>917</v>
      </c>
      <c r="H261" s="169">
        <v>0.3</v>
      </c>
      <c r="I261" s="169">
        <v>5.9</v>
      </c>
      <c r="J261" s="170">
        <v>2.5</v>
      </c>
      <c r="K261" s="170">
        <v>2</v>
      </c>
      <c r="L261" s="169">
        <v>1.9250000000000003</v>
      </c>
      <c r="M261" s="169">
        <v>18.600000000000001</v>
      </c>
      <c r="N261" s="170">
        <v>4</v>
      </c>
      <c r="O261" s="169">
        <v>7</v>
      </c>
      <c r="P261" s="169">
        <v>2.8</v>
      </c>
    </row>
    <row r="262" spans="1:16" x14ac:dyDescent="0.25">
      <c r="A262" s="170">
        <v>261</v>
      </c>
      <c r="B262" s="170">
        <v>0</v>
      </c>
      <c r="C262" s="170">
        <v>0</v>
      </c>
      <c r="D262" s="170">
        <v>1</v>
      </c>
      <c r="E262" s="170">
        <v>6</v>
      </c>
      <c r="F262" s="170">
        <v>140</v>
      </c>
      <c r="G262" s="169">
        <v>934</v>
      </c>
      <c r="H262" s="169">
        <v>0.3</v>
      </c>
      <c r="I262" s="169">
        <v>7.8</v>
      </c>
      <c r="J262" s="170">
        <v>2.5</v>
      </c>
      <c r="K262" s="170">
        <v>2</v>
      </c>
      <c r="L262" s="169">
        <v>1.9250000000000003</v>
      </c>
      <c r="M262" s="169">
        <v>18.600000000000001</v>
      </c>
      <c r="N262" s="170">
        <v>4</v>
      </c>
      <c r="O262" s="169">
        <v>7.45</v>
      </c>
      <c r="P262" s="169">
        <v>2.9</v>
      </c>
    </row>
    <row r="263" spans="1:16" x14ac:dyDescent="0.25">
      <c r="A263" s="170">
        <v>262</v>
      </c>
      <c r="B263" s="170">
        <v>1</v>
      </c>
      <c r="C263" s="170">
        <v>0</v>
      </c>
      <c r="D263" s="170">
        <v>0</v>
      </c>
      <c r="E263" s="170">
        <v>9</v>
      </c>
      <c r="F263" s="170">
        <v>140</v>
      </c>
      <c r="G263" s="169">
        <v>884</v>
      </c>
      <c r="H263" s="169">
        <v>0.3</v>
      </c>
      <c r="I263" s="169">
        <v>6.85</v>
      </c>
      <c r="J263" s="170">
        <v>2.5</v>
      </c>
      <c r="K263" s="170">
        <v>2</v>
      </c>
      <c r="L263" s="169">
        <v>1.9250000000000003</v>
      </c>
      <c r="M263" s="169">
        <v>22.1</v>
      </c>
      <c r="N263" s="170">
        <v>4</v>
      </c>
      <c r="O263" s="169">
        <v>7.3</v>
      </c>
      <c r="P263" s="169">
        <v>3</v>
      </c>
    </row>
    <row r="264" spans="1:16" x14ac:dyDescent="0.25">
      <c r="A264" s="170">
        <v>263</v>
      </c>
      <c r="B264" s="170">
        <v>0</v>
      </c>
      <c r="C264" s="170">
        <v>1</v>
      </c>
      <c r="D264" s="170">
        <v>0</v>
      </c>
      <c r="E264" s="170">
        <v>9</v>
      </c>
      <c r="F264" s="170">
        <v>140</v>
      </c>
      <c r="G264" s="169">
        <v>909</v>
      </c>
      <c r="H264" s="169">
        <v>0.3</v>
      </c>
      <c r="I264" s="169">
        <v>5.9</v>
      </c>
      <c r="J264" s="170">
        <v>2.5</v>
      </c>
      <c r="K264" s="170">
        <v>2</v>
      </c>
      <c r="L264" s="169">
        <v>1.9250000000000003</v>
      </c>
      <c r="M264" s="169">
        <v>21.3</v>
      </c>
      <c r="N264" s="170">
        <v>4</v>
      </c>
      <c r="O264" s="169">
        <v>6.2</v>
      </c>
      <c r="P264" s="169">
        <v>2.7</v>
      </c>
    </row>
    <row r="265" spans="1:16" x14ac:dyDescent="0.25">
      <c r="A265" s="170">
        <v>264</v>
      </c>
      <c r="B265" s="170">
        <v>0</v>
      </c>
      <c r="C265" s="170">
        <v>0</v>
      </c>
      <c r="D265" s="170">
        <v>1</v>
      </c>
      <c r="E265" s="170">
        <v>9</v>
      </c>
      <c r="F265" s="170">
        <v>140</v>
      </c>
      <c r="G265" s="169">
        <v>926</v>
      </c>
      <c r="H265" s="169">
        <v>0.3</v>
      </c>
      <c r="I265" s="169">
        <v>7.8</v>
      </c>
      <c r="J265" s="170">
        <v>2.5</v>
      </c>
      <c r="K265" s="170">
        <v>2</v>
      </c>
      <c r="L265" s="169">
        <v>1.9250000000000003</v>
      </c>
      <c r="M265" s="169">
        <v>20.5</v>
      </c>
      <c r="N265" s="170">
        <v>4</v>
      </c>
      <c r="O265" s="169">
        <v>7.25</v>
      </c>
      <c r="P265" s="169">
        <v>3.1</v>
      </c>
    </row>
    <row r="266" spans="1:16" x14ac:dyDescent="0.25">
      <c r="A266" s="170">
        <v>265</v>
      </c>
      <c r="B266" s="170">
        <v>1</v>
      </c>
      <c r="C266" s="170">
        <v>0</v>
      </c>
      <c r="D266" s="170">
        <v>0</v>
      </c>
      <c r="E266" s="170">
        <v>6</v>
      </c>
      <c r="F266" s="170">
        <v>140</v>
      </c>
      <c r="G266" s="169">
        <v>1004</v>
      </c>
      <c r="H266" s="169">
        <v>0.6</v>
      </c>
      <c r="I266" s="169">
        <v>6.85</v>
      </c>
      <c r="J266" s="170">
        <v>2.5</v>
      </c>
      <c r="K266" s="170">
        <v>2</v>
      </c>
      <c r="L266" s="169">
        <v>1.9000000000000004</v>
      </c>
      <c r="M266" s="169">
        <v>19.600000000000001</v>
      </c>
      <c r="N266" s="170">
        <v>5</v>
      </c>
      <c r="O266" s="169">
        <v>6.4</v>
      </c>
      <c r="P266" s="169">
        <v>2.9</v>
      </c>
    </row>
    <row r="267" spans="1:16" x14ac:dyDescent="0.25">
      <c r="A267" s="170">
        <v>266</v>
      </c>
      <c r="B267" s="170">
        <v>0</v>
      </c>
      <c r="C267" s="170">
        <v>1</v>
      </c>
      <c r="D267" s="170">
        <v>0</v>
      </c>
      <c r="E267" s="170">
        <v>6</v>
      </c>
      <c r="F267" s="170">
        <v>140</v>
      </c>
      <c r="G267" s="169">
        <v>917</v>
      </c>
      <c r="H267" s="169">
        <v>0.3</v>
      </c>
      <c r="I267" s="169">
        <v>5.9</v>
      </c>
      <c r="J267" s="170">
        <v>2.5</v>
      </c>
      <c r="K267" s="170">
        <v>2</v>
      </c>
      <c r="L267" s="169">
        <v>1.9000000000000004</v>
      </c>
      <c r="M267" s="169">
        <v>18.7</v>
      </c>
      <c r="N267" s="170">
        <v>5</v>
      </c>
      <c r="O267" s="169">
        <v>6.95</v>
      </c>
      <c r="P267" s="169">
        <v>2.8</v>
      </c>
    </row>
    <row r="268" spans="1:16" x14ac:dyDescent="0.25">
      <c r="A268" s="170">
        <v>267</v>
      </c>
      <c r="B268" s="170">
        <v>0</v>
      </c>
      <c r="C268" s="170">
        <v>0</v>
      </c>
      <c r="D268" s="170">
        <v>1</v>
      </c>
      <c r="E268" s="170">
        <v>6</v>
      </c>
      <c r="F268" s="170">
        <v>140</v>
      </c>
      <c r="G268" s="169">
        <v>934</v>
      </c>
      <c r="H268" s="169">
        <v>0.3</v>
      </c>
      <c r="I268" s="169">
        <v>7.8</v>
      </c>
      <c r="J268" s="170">
        <v>2.5</v>
      </c>
      <c r="K268" s="170">
        <v>2</v>
      </c>
      <c r="L268" s="169">
        <v>1.9000000000000004</v>
      </c>
      <c r="M268" s="169">
        <v>19</v>
      </c>
      <c r="N268" s="170">
        <v>5</v>
      </c>
      <c r="O268" s="169">
        <v>7.2</v>
      </c>
      <c r="P268" s="169">
        <v>2.9</v>
      </c>
    </row>
    <row r="269" spans="1:16" x14ac:dyDescent="0.25">
      <c r="A269" s="170">
        <v>268</v>
      </c>
      <c r="B269" s="170">
        <v>1</v>
      </c>
      <c r="C269" s="170">
        <v>0</v>
      </c>
      <c r="D269" s="170">
        <v>0</v>
      </c>
      <c r="E269" s="170">
        <v>9</v>
      </c>
      <c r="F269" s="170">
        <v>140</v>
      </c>
      <c r="G269" s="169">
        <v>884</v>
      </c>
      <c r="H269" s="169">
        <v>0.3</v>
      </c>
      <c r="I269" s="169">
        <v>6.85</v>
      </c>
      <c r="J269" s="170">
        <v>2.5</v>
      </c>
      <c r="K269" s="170">
        <v>2</v>
      </c>
      <c r="L269" s="169">
        <v>1.9000000000000004</v>
      </c>
      <c r="M269" s="169">
        <v>21.3</v>
      </c>
      <c r="N269" s="170">
        <v>5</v>
      </c>
      <c r="O269" s="169">
        <v>7.1</v>
      </c>
      <c r="P269" s="169">
        <v>3</v>
      </c>
    </row>
    <row r="270" spans="1:16" x14ac:dyDescent="0.25">
      <c r="A270" s="170">
        <v>269</v>
      </c>
      <c r="B270" s="170">
        <v>0</v>
      </c>
      <c r="C270" s="170">
        <v>1</v>
      </c>
      <c r="D270" s="170">
        <v>0</v>
      </c>
      <c r="E270" s="170">
        <v>9</v>
      </c>
      <c r="F270" s="170">
        <v>140</v>
      </c>
      <c r="G270" s="169">
        <v>909</v>
      </c>
      <c r="H270" s="169">
        <v>0.3</v>
      </c>
      <c r="I270" s="169">
        <v>5.9</v>
      </c>
      <c r="J270" s="170">
        <v>2.5</v>
      </c>
      <c r="K270" s="170">
        <v>2</v>
      </c>
      <c r="L270" s="169">
        <v>1.9000000000000004</v>
      </c>
      <c r="M270" s="169">
        <v>20.8</v>
      </c>
      <c r="N270" s="170">
        <v>5</v>
      </c>
      <c r="O270" s="169">
        <v>6.15</v>
      </c>
      <c r="P270" s="169">
        <v>2.7</v>
      </c>
    </row>
    <row r="271" spans="1:16" x14ac:dyDescent="0.25">
      <c r="A271" s="170">
        <v>270</v>
      </c>
      <c r="B271" s="170">
        <v>0</v>
      </c>
      <c r="C271" s="170">
        <v>0</v>
      </c>
      <c r="D271" s="170">
        <v>1</v>
      </c>
      <c r="E271" s="170">
        <v>9</v>
      </c>
      <c r="F271" s="170">
        <v>140</v>
      </c>
      <c r="G271" s="169">
        <v>926</v>
      </c>
      <c r="H271" s="169">
        <v>0.3</v>
      </c>
      <c r="I271" s="169">
        <v>7.8</v>
      </c>
      <c r="J271" s="170">
        <v>2.5</v>
      </c>
      <c r="K271" s="170">
        <v>2</v>
      </c>
      <c r="L271" s="169">
        <v>1.9000000000000004</v>
      </c>
      <c r="M271" s="169">
        <v>20</v>
      </c>
      <c r="N271" s="170">
        <v>5</v>
      </c>
      <c r="O271" s="169">
        <v>7.2</v>
      </c>
      <c r="P271" s="169">
        <v>3</v>
      </c>
    </row>
    <row r="272" spans="1:16" x14ac:dyDescent="0.25">
      <c r="A272" s="170">
        <v>271</v>
      </c>
      <c r="B272" s="170">
        <v>1</v>
      </c>
      <c r="C272" s="170">
        <v>0</v>
      </c>
      <c r="D272" s="170">
        <v>0</v>
      </c>
      <c r="E272" s="170">
        <v>6</v>
      </c>
      <c r="F272" s="170">
        <v>140</v>
      </c>
      <c r="G272" s="169">
        <v>1004</v>
      </c>
      <c r="H272" s="169">
        <v>0.6</v>
      </c>
      <c r="I272" s="169">
        <v>6.85</v>
      </c>
      <c r="J272" s="170">
        <v>2.5</v>
      </c>
      <c r="K272" s="170">
        <v>2</v>
      </c>
      <c r="L272" s="169">
        <v>1.8750000000000004</v>
      </c>
      <c r="M272" s="169">
        <v>19.600000000000001</v>
      </c>
      <c r="N272" s="170">
        <v>6</v>
      </c>
      <c r="O272" s="169">
        <v>6.3</v>
      </c>
      <c r="P272" s="169">
        <v>2.8</v>
      </c>
    </row>
    <row r="273" spans="1:16" x14ac:dyDescent="0.25">
      <c r="A273" s="170">
        <v>272</v>
      </c>
      <c r="B273" s="170">
        <v>0</v>
      </c>
      <c r="C273" s="170">
        <v>1</v>
      </c>
      <c r="D273" s="170">
        <v>0</v>
      </c>
      <c r="E273" s="170">
        <v>6</v>
      </c>
      <c r="F273" s="170">
        <v>140</v>
      </c>
      <c r="G273" s="169">
        <v>917</v>
      </c>
      <c r="H273" s="169">
        <v>0.3</v>
      </c>
      <c r="I273" s="169">
        <v>5.9</v>
      </c>
      <c r="J273" s="170">
        <v>2.5</v>
      </c>
      <c r="K273" s="170">
        <v>2</v>
      </c>
      <c r="L273" s="169">
        <v>1.8750000000000004</v>
      </c>
      <c r="M273" s="169">
        <v>18.7</v>
      </c>
      <c r="N273" s="170">
        <v>6</v>
      </c>
      <c r="O273" s="169">
        <v>6.9</v>
      </c>
      <c r="P273" s="169">
        <v>2.8</v>
      </c>
    </row>
    <row r="274" spans="1:16" x14ac:dyDescent="0.25">
      <c r="A274" s="170">
        <v>273</v>
      </c>
      <c r="B274" s="170">
        <v>0</v>
      </c>
      <c r="C274" s="170">
        <v>0</v>
      </c>
      <c r="D274" s="170">
        <v>1</v>
      </c>
      <c r="E274" s="170">
        <v>6</v>
      </c>
      <c r="F274" s="170">
        <v>140</v>
      </c>
      <c r="G274" s="169">
        <v>934</v>
      </c>
      <c r="H274" s="169">
        <v>0.3</v>
      </c>
      <c r="I274" s="169">
        <v>7.8</v>
      </c>
      <c r="J274" s="170">
        <v>2.5</v>
      </c>
      <c r="K274" s="170">
        <v>2</v>
      </c>
      <c r="L274" s="169">
        <v>1.8750000000000004</v>
      </c>
      <c r="M274" s="169">
        <v>19</v>
      </c>
      <c r="N274" s="170">
        <v>6</v>
      </c>
      <c r="O274" s="169">
        <v>7.15</v>
      </c>
      <c r="P274" s="169">
        <v>3</v>
      </c>
    </row>
    <row r="275" spans="1:16" x14ac:dyDescent="0.25">
      <c r="A275" s="170">
        <v>274</v>
      </c>
      <c r="B275" s="170">
        <v>1</v>
      </c>
      <c r="C275" s="170">
        <v>0</v>
      </c>
      <c r="D275" s="170">
        <v>0</v>
      </c>
      <c r="E275" s="170">
        <v>9</v>
      </c>
      <c r="F275" s="170">
        <v>140</v>
      </c>
      <c r="G275" s="169">
        <v>884</v>
      </c>
      <c r="H275" s="169">
        <v>0.3</v>
      </c>
      <c r="I275" s="169">
        <v>6.85</v>
      </c>
      <c r="J275" s="170">
        <v>2.5</v>
      </c>
      <c r="K275" s="170">
        <v>2</v>
      </c>
      <c r="L275" s="169">
        <v>1.8750000000000004</v>
      </c>
      <c r="M275" s="169">
        <v>21.3</v>
      </c>
      <c r="N275" s="170">
        <v>6</v>
      </c>
      <c r="O275" s="169">
        <v>7.05</v>
      </c>
      <c r="P275" s="169">
        <v>3</v>
      </c>
    </row>
    <row r="276" spans="1:16" x14ac:dyDescent="0.25">
      <c r="A276" s="170">
        <v>275</v>
      </c>
      <c r="B276" s="170">
        <v>0</v>
      </c>
      <c r="C276" s="170">
        <v>1</v>
      </c>
      <c r="D276" s="170">
        <v>0</v>
      </c>
      <c r="E276" s="170">
        <v>9</v>
      </c>
      <c r="F276" s="170">
        <v>140</v>
      </c>
      <c r="G276" s="169">
        <v>909</v>
      </c>
      <c r="H276" s="169">
        <v>0.3</v>
      </c>
      <c r="I276" s="169">
        <v>5.9</v>
      </c>
      <c r="J276" s="170">
        <v>2.5</v>
      </c>
      <c r="K276" s="170">
        <v>2</v>
      </c>
      <c r="L276" s="169">
        <v>1.8750000000000004</v>
      </c>
      <c r="M276" s="169">
        <v>20.8</v>
      </c>
      <c r="N276" s="170">
        <v>6</v>
      </c>
      <c r="O276" s="169">
        <v>6.05</v>
      </c>
      <c r="P276" s="169">
        <v>2.7</v>
      </c>
    </row>
    <row r="277" spans="1:16" x14ac:dyDescent="0.25">
      <c r="A277" s="170">
        <v>276</v>
      </c>
      <c r="B277" s="170">
        <v>0</v>
      </c>
      <c r="C277" s="170">
        <v>0</v>
      </c>
      <c r="D277" s="170">
        <v>1</v>
      </c>
      <c r="E277" s="170">
        <v>9</v>
      </c>
      <c r="F277" s="170">
        <v>140</v>
      </c>
      <c r="G277" s="169">
        <v>926</v>
      </c>
      <c r="H277" s="169">
        <v>0.3</v>
      </c>
      <c r="I277" s="169">
        <v>7.8</v>
      </c>
      <c r="J277" s="170">
        <v>2.5</v>
      </c>
      <c r="K277" s="170">
        <v>2</v>
      </c>
      <c r="L277" s="169">
        <v>1.8750000000000004</v>
      </c>
      <c r="M277" s="169">
        <v>20</v>
      </c>
      <c r="N277" s="170">
        <v>6</v>
      </c>
      <c r="O277" s="169">
        <v>7.05</v>
      </c>
      <c r="P277" s="169">
        <v>3</v>
      </c>
    </row>
    <row r="278" spans="1:16" x14ac:dyDescent="0.25">
      <c r="A278" s="170">
        <v>277</v>
      </c>
      <c r="B278" s="170">
        <v>1</v>
      </c>
      <c r="C278" s="170">
        <v>0</v>
      </c>
      <c r="D278" s="170">
        <v>0</v>
      </c>
      <c r="E278" s="170">
        <v>6</v>
      </c>
      <c r="F278" s="170">
        <v>140</v>
      </c>
      <c r="G278" s="169">
        <v>1004</v>
      </c>
      <c r="H278" s="169">
        <v>0.6</v>
      </c>
      <c r="I278" s="169">
        <v>6.85</v>
      </c>
      <c r="J278" s="170">
        <v>2.5</v>
      </c>
      <c r="K278" s="170">
        <v>2</v>
      </c>
      <c r="L278" s="169">
        <v>1.8500000000000005</v>
      </c>
      <c r="M278" s="169">
        <v>19.600000000000001</v>
      </c>
      <c r="N278" s="170">
        <v>7</v>
      </c>
      <c r="O278" s="169">
        <v>6.25</v>
      </c>
      <c r="P278" s="169">
        <v>2.8</v>
      </c>
    </row>
    <row r="279" spans="1:16" x14ac:dyDescent="0.25">
      <c r="A279" s="170">
        <v>278</v>
      </c>
      <c r="B279" s="170">
        <v>0</v>
      </c>
      <c r="C279" s="170">
        <v>1</v>
      </c>
      <c r="D279" s="170">
        <v>0</v>
      </c>
      <c r="E279" s="170">
        <v>6</v>
      </c>
      <c r="F279" s="170">
        <v>140</v>
      </c>
      <c r="G279" s="169">
        <v>917</v>
      </c>
      <c r="H279" s="169">
        <v>0.3</v>
      </c>
      <c r="I279" s="169">
        <v>5.9</v>
      </c>
      <c r="J279" s="170">
        <v>2.5</v>
      </c>
      <c r="K279" s="170">
        <v>2</v>
      </c>
      <c r="L279" s="169">
        <v>1.8500000000000005</v>
      </c>
      <c r="M279" s="169">
        <v>18.7</v>
      </c>
      <c r="N279" s="170">
        <v>7</v>
      </c>
      <c r="O279" s="169">
        <v>6.9</v>
      </c>
      <c r="P279" s="169">
        <v>2.7</v>
      </c>
    </row>
    <row r="280" spans="1:16" x14ac:dyDescent="0.25">
      <c r="A280" s="170">
        <v>279</v>
      </c>
      <c r="B280" s="170">
        <v>0</v>
      </c>
      <c r="C280" s="170">
        <v>0</v>
      </c>
      <c r="D280" s="170">
        <v>1</v>
      </c>
      <c r="E280" s="170">
        <v>6</v>
      </c>
      <c r="F280" s="170">
        <v>140</v>
      </c>
      <c r="G280" s="169">
        <v>934</v>
      </c>
      <c r="H280" s="169">
        <v>0.3</v>
      </c>
      <c r="I280" s="169">
        <v>7.8</v>
      </c>
      <c r="J280" s="170">
        <v>2.5</v>
      </c>
      <c r="K280" s="170">
        <v>2</v>
      </c>
      <c r="L280" s="169">
        <v>1.8500000000000005</v>
      </c>
      <c r="M280" s="169">
        <v>19</v>
      </c>
      <c r="N280" s="170">
        <v>7</v>
      </c>
      <c r="O280" s="169">
        <v>7.2</v>
      </c>
      <c r="P280" s="169">
        <v>2.8</v>
      </c>
    </row>
    <row r="281" spans="1:16" x14ac:dyDescent="0.25">
      <c r="A281" s="170">
        <v>280</v>
      </c>
      <c r="B281" s="170">
        <v>1</v>
      </c>
      <c r="C281" s="170">
        <v>0</v>
      </c>
      <c r="D281" s="170">
        <v>0</v>
      </c>
      <c r="E281" s="170">
        <v>9</v>
      </c>
      <c r="F281" s="170">
        <v>140</v>
      </c>
      <c r="G281" s="169">
        <v>884</v>
      </c>
      <c r="H281" s="169">
        <v>0.3</v>
      </c>
      <c r="I281" s="169">
        <v>6.85</v>
      </c>
      <c r="J281" s="170">
        <v>2.5</v>
      </c>
      <c r="K281" s="170">
        <v>2</v>
      </c>
      <c r="L281" s="169">
        <v>1.8500000000000005</v>
      </c>
      <c r="M281" s="169">
        <v>21.3</v>
      </c>
      <c r="N281" s="170">
        <v>7</v>
      </c>
      <c r="O281" s="169">
        <v>7.15</v>
      </c>
      <c r="P281" s="169">
        <v>2.9</v>
      </c>
    </row>
    <row r="282" spans="1:16" x14ac:dyDescent="0.25">
      <c r="A282" s="170">
        <v>281</v>
      </c>
      <c r="B282" s="170">
        <v>0</v>
      </c>
      <c r="C282" s="170">
        <v>1</v>
      </c>
      <c r="D282" s="170">
        <v>0</v>
      </c>
      <c r="E282" s="170">
        <v>9</v>
      </c>
      <c r="F282" s="170">
        <v>140</v>
      </c>
      <c r="G282" s="169">
        <v>909</v>
      </c>
      <c r="H282" s="169">
        <v>0.3</v>
      </c>
      <c r="I282" s="169">
        <v>5.9</v>
      </c>
      <c r="J282" s="170">
        <v>2.5</v>
      </c>
      <c r="K282" s="170">
        <v>2</v>
      </c>
      <c r="L282" s="169">
        <v>1.8500000000000005</v>
      </c>
      <c r="M282" s="169">
        <v>20.8</v>
      </c>
      <c r="N282" s="170">
        <v>7</v>
      </c>
      <c r="O282" s="169">
        <v>6.05</v>
      </c>
      <c r="P282" s="169">
        <v>2.7</v>
      </c>
    </row>
    <row r="283" spans="1:16" x14ac:dyDescent="0.25">
      <c r="A283" s="170">
        <v>282</v>
      </c>
      <c r="B283" s="170">
        <v>0</v>
      </c>
      <c r="C283" s="170">
        <v>0</v>
      </c>
      <c r="D283" s="170">
        <v>1</v>
      </c>
      <c r="E283" s="170">
        <v>9</v>
      </c>
      <c r="F283" s="170">
        <v>140</v>
      </c>
      <c r="G283" s="169">
        <v>926</v>
      </c>
      <c r="H283" s="169">
        <v>0.3</v>
      </c>
      <c r="I283" s="169">
        <v>7.8</v>
      </c>
      <c r="J283" s="170">
        <v>2.5</v>
      </c>
      <c r="K283" s="170">
        <v>2</v>
      </c>
      <c r="L283" s="169">
        <v>1.8500000000000005</v>
      </c>
      <c r="M283" s="169">
        <v>20</v>
      </c>
      <c r="N283" s="170">
        <v>7</v>
      </c>
      <c r="O283" s="169">
        <v>7</v>
      </c>
      <c r="P283" s="169">
        <v>2.9</v>
      </c>
    </row>
    <row r="284" spans="1:16" x14ac:dyDescent="0.25">
      <c r="A284" s="170">
        <v>283</v>
      </c>
      <c r="B284" s="170">
        <v>1</v>
      </c>
      <c r="C284" s="170">
        <v>0</v>
      </c>
      <c r="D284" s="170">
        <v>0</v>
      </c>
      <c r="E284" s="170">
        <v>6</v>
      </c>
      <c r="F284" s="170">
        <v>140</v>
      </c>
      <c r="G284" s="169">
        <v>1004</v>
      </c>
      <c r="H284" s="169">
        <v>0.6</v>
      </c>
      <c r="I284" s="169">
        <v>6.85</v>
      </c>
      <c r="J284" s="170">
        <v>2.5</v>
      </c>
      <c r="K284" s="170">
        <v>2</v>
      </c>
      <c r="L284" s="169">
        <v>1.8250000000000006</v>
      </c>
      <c r="M284" s="169">
        <v>19.600000000000001</v>
      </c>
      <c r="N284" s="170">
        <v>8</v>
      </c>
      <c r="O284" s="169">
        <v>6.35</v>
      </c>
      <c r="P284" s="169">
        <v>2.7</v>
      </c>
    </row>
    <row r="285" spans="1:16" x14ac:dyDescent="0.25">
      <c r="A285" s="170">
        <v>284</v>
      </c>
      <c r="B285" s="170">
        <v>0</v>
      </c>
      <c r="C285" s="170">
        <v>1</v>
      </c>
      <c r="D285" s="170">
        <v>0</v>
      </c>
      <c r="E285" s="170">
        <v>6</v>
      </c>
      <c r="F285" s="170">
        <v>140</v>
      </c>
      <c r="G285" s="169">
        <v>917</v>
      </c>
      <c r="H285" s="169">
        <v>0.3</v>
      </c>
      <c r="I285" s="169">
        <v>5.9</v>
      </c>
      <c r="J285" s="170">
        <v>2.5</v>
      </c>
      <c r="K285" s="170">
        <v>2</v>
      </c>
      <c r="L285" s="169">
        <v>1.8250000000000006</v>
      </c>
      <c r="M285" s="169">
        <v>18.5</v>
      </c>
      <c r="N285" s="170">
        <v>8</v>
      </c>
      <c r="O285" s="169">
        <v>6.85</v>
      </c>
      <c r="P285" s="169">
        <v>2.7</v>
      </c>
    </row>
    <row r="286" spans="1:16" x14ac:dyDescent="0.25">
      <c r="A286" s="170">
        <v>285</v>
      </c>
      <c r="B286" s="170">
        <v>0</v>
      </c>
      <c r="C286" s="170">
        <v>0</v>
      </c>
      <c r="D286" s="170">
        <v>1</v>
      </c>
      <c r="E286" s="170">
        <v>6</v>
      </c>
      <c r="F286" s="170">
        <v>140</v>
      </c>
      <c r="G286" s="169">
        <v>934</v>
      </c>
      <c r="H286" s="169">
        <v>0.3</v>
      </c>
      <c r="I286" s="169">
        <v>7.8</v>
      </c>
      <c r="J286" s="170">
        <v>2.5</v>
      </c>
      <c r="K286" s="170">
        <v>2</v>
      </c>
      <c r="L286" s="169">
        <v>1.8250000000000006</v>
      </c>
      <c r="M286" s="169">
        <v>18.600000000000001</v>
      </c>
      <c r="N286" s="170">
        <v>8</v>
      </c>
      <c r="O286" s="169">
        <v>7.05</v>
      </c>
      <c r="P286" s="169">
        <v>2.8</v>
      </c>
    </row>
    <row r="287" spans="1:16" x14ac:dyDescent="0.25">
      <c r="A287" s="170">
        <v>286</v>
      </c>
      <c r="B287" s="170">
        <v>1</v>
      </c>
      <c r="C287" s="170">
        <v>0</v>
      </c>
      <c r="D287" s="170">
        <v>0</v>
      </c>
      <c r="E287" s="170">
        <v>9</v>
      </c>
      <c r="F287" s="170">
        <v>140</v>
      </c>
      <c r="G287" s="169">
        <v>884</v>
      </c>
      <c r="H287" s="169">
        <v>0.3</v>
      </c>
      <c r="I287" s="169">
        <v>6.85</v>
      </c>
      <c r="J287" s="170">
        <v>2.5</v>
      </c>
      <c r="K287" s="170">
        <v>2</v>
      </c>
      <c r="L287" s="169">
        <v>1.8250000000000006</v>
      </c>
      <c r="M287" s="169">
        <v>21.3</v>
      </c>
      <c r="N287" s="170">
        <v>8</v>
      </c>
      <c r="O287" s="169">
        <v>7</v>
      </c>
      <c r="P287" s="169">
        <v>2.9</v>
      </c>
    </row>
    <row r="288" spans="1:16" x14ac:dyDescent="0.25">
      <c r="A288" s="170">
        <v>287</v>
      </c>
      <c r="B288" s="170">
        <v>0</v>
      </c>
      <c r="C288" s="170">
        <v>1</v>
      </c>
      <c r="D288" s="170">
        <v>0</v>
      </c>
      <c r="E288" s="170">
        <v>9</v>
      </c>
      <c r="F288" s="170">
        <v>140</v>
      </c>
      <c r="G288" s="169">
        <v>909</v>
      </c>
      <c r="H288" s="169">
        <v>0.3</v>
      </c>
      <c r="I288" s="169">
        <v>5.9</v>
      </c>
      <c r="J288" s="170">
        <v>2.5</v>
      </c>
      <c r="K288" s="170">
        <v>2</v>
      </c>
      <c r="L288" s="169">
        <v>1.8250000000000006</v>
      </c>
      <c r="M288" s="169">
        <v>20.7</v>
      </c>
      <c r="N288" s="170">
        <v>8</v>
      </c>
      <c r="O288" s="169">
        <v>6</v>
      </c>
      <c r="P288" s="169">
        <v>2.7</v>
      </c>
    </row>
    <row r="289" spans="1:16" x14ac:dyDescent="0.25">
      <c r="A289" s="170">
        <v>288</v>
      </c>
      <c r="B289" s="170">
        <v>0</v>
      </c>
      <c r="C289" s="170">
        <v>0</v>
      </c>
      <c r="D289" s="170">
        <v>1</v>
      </c>
      <c r="E289" s="170">
        <v>9</v>
      </c>
      <c r="F289" s="170">
        <v>140</v>
      </c>
      <c r="G289" s="169">
        <v>926</v>
      </c>
      <c r="H289" s="169">
        <v>0.3</v>
      </c>
      <c r="I289" s="169">
        <v>7.8</v>
      </c>
      <c r="J289" s="170">
        <v>2.5</v>
      </c>
      <c r="K289" s="170">
        <v>2</v>
      </c>
      <c r="L289" s="169">
        <v>1.8250000000000006</v>
      </c>
      <c r="M289" s="169">
        <v>19.7</v>
      </c>
      <c r="N289" s="170">
        <v>8</v>
      </c>
      <c r="O289" s="169">
        <v>6.95</v>
      </c>
      <c r="P289" s="169">
        <v>2.9</v>
      </c>
    </row>
    <row r="290" spans="1:16" x14ac:dyDescent="0.25">
      <c r="A290" s="170">
        <v>289</v>
      </c>
      <c r="B290" s="170">
        <v>1</v>
      </c>
      <c r="C290" s="170">
        <v>0</v>
      </c>
      <c r="D290" s="170">
        <v>0</v>
      </c>
      <c r="E290" s="170">
        <v>6</v>
      </c>
      <c r="F290" s="170">
        <v>140</v>
      </c>
      <c r="G290" s="169">
        <v>1004</v>
      </c>
      <c r="H290" s="169">
        <v>0.6</v>
      </c>
      <c r="I290" s="169">
        <v>6.85</v>
      </c>
      <c r="J290" s="170">
        <v>2.5</v>
      </c>
      <c r="K290" s="170">
        <v>2</v>
      </c>
      <c r="L290" s="169">
        <v>1.8000000000000007</v>
      </c>
      <c r="M290" s="169">
        <v>19.600000000000001</v>
      </c>
      <c r="N290" s="170">
        <v>9</v>
      </c>
      <c r="O290" s="169">
        <v>6.2</v>
      </c>
      <c r="P290" s="169">
        <v>2.6</v>
      </c>
    </row>
    <row r="291" spans="1:16" x14ac:dyDescent="0.25">
      <c r="A291" s="170">
        <v>290</v>
      </c>
      <c r="B291" s="170">
        <v>0</v>
      </c>
      <c r="C291" s="170">
        <v>1</v>
      </c>
      <c r="D291" s="170">
        <v>0</v>
      </c>
      <c r="E291" s="170">
        <v>6</v>
      </c>
      <c r="F291" s="170">
        <v>140</v>
      </c>
      <c r="G291" s="169">
        <v>917</v>
      </c>
      <c r="H291" s="169">
        <v>0.3</v>
      </c>
      <c r="I291" s="169">
        <v>5.9</v>
      </c>
      <c r="J291" s="170">
        <v>2.5</v>
      </c>
      <c r="K291" s="170">
        <v>2</v>
      </c>
      <c r="L291" s="169">
        <v>1.8000000000000007</v>
      </c>
      <c r="M291" s="169">
        <v>18.600000000000001</v>
      </c>
      <c r="N291" s="170">
        <v>9</v>
      </c>
      <c r="O291" s="169">
        <v>6.8</v>
      </c>
      <c r="P291" s="169">
        <v>2.6</v>
      </c>
    </row>
    <row r="292" spans="1:16" x14ac:dyDescent="0.25">
      <c r="A292" s="170">
        <v>291</v>
      </c>
      <c r="B292" s="170">
        <v>0</v>
      </c>
      <c r="C292" s="170">
        <v>0</v>
      </c>
      <c r="D292" s="170">
        <v>1</v>
      </c>
      <c r="E292" s="170">
        <v>6</v>
      </c>
      <c r="F292" s="170">
        <v>140</v>
      </c>
      <c r="G292" s="169">
        <v>934</v>
      </c>
      <c r="H292" s="169">
        <v>0.3</v>
      </c>
      <c r="I292" s="169">
        <v>7.8</v>
      </c>
      <c r="J292" s="170">
        <v>2.5</v>
      </c>
      <c r="K292" s="170">
        <v>2</v>
      </c>
      <c r="L292" s="169">
        <v>1.8000000000000007</v>
      </c>
      <c r="M292" s="169">
        <v>18.5</v>
      </c>
      <c r="N292" s="170">
        <v>9</v>
      </c>
      <c r="O292" s="169">
        <v>6.9</v>
      </c>
      <c r="P292" s="169">
        <v>2.6</v>
      </c>
    </row>
    <row r="293" spans="1:16" x14ac:dyDescent="0.25">
      <c r="A293" s="170">
        <v>292</v>
      </c>
      <c r="B293" s="170">
        <v>1</v>
      </c>
      <c r="C293" s="170">
        <v>0</v>
      </c>
      <c r="D293" s="170">
        <v>0</v>
      </c>
      <c r="E293" s="170">
        <v>9</v>
      </c>
      <c r="F293" s="170">
        <v>140</v>
      </c>
      <c r="G293" s="169">
        <v>884</v>
      </c>
      <c r="H293" s="169">
        <v>0.3</v>
      </c>
      <c r="I293" s="169">
        <v>6.85</v>
      </c>
      <c r="J293" s="170">
        <v>2.5</v>
      </c>
      <c r="K293" s="170">
        <v>2</v>
      </c>
      <c r="L293" s="169">
        <v>1.8000000000000007</v>
      </c>
      <c r="M293" s="169">
        <v>20.8</v>
      </c>
      <c r="N293" s="170">
        <v>9</v>
      </c>
      <c r="O293" s="169">
        <v>6.7</v>
      </c>
      <c r="P293" s="169">
        <v>2.8</v>
      </c>
    </row>
    <row r="294" spans="1:16" x14ac:dyDescent="0.25">
      <c r="A294" s="170">
        <v>293</v>
      </c>
      <c r="B294" s="170">
        <v>0</v>
      </c>
      <c r="C294" s="170">
        <v>1</v>
      </c>
      <c r="D294" s="170">
        <v>0</v>
      </c>
      <c r="E294" s="170">
        <v>9</v>
      </c>
      <c r="F294" s="170">
        <v>140</v>
      </c>
      <c r="G294" s="169">
        <v>909</v>
      </c>
      <c r="H294" s="169">
        <v>0.3</v>
      </c>
      <c r="I294" s="169">
        <v>5.9</v>
      </c>
      <c r="J294" s="170">
        <v>2.5</v>
      </c>
      <c r="K294" s="170">
        <v>2</v>
      </c>
      <c r="L294" s="169">
        <v>1.8000000000000007</v>
      </c>
      <c r="M294" s="169">
        <v>20.5</v>
      </c>
      <c r="N294" s="170">
        <v>9</v>
      </c>
      <c r="O294" s="169">
        <v>6</v>
      </c>
      <c r="P294" s="169">
        <v>2.6</v>
      </c>
    </row>
    <row r="295" spans="1:16" x14ac:dyDescent="0.25">
      <c r="A295" s="170">
        <v>294</v>
      </c>
      <c r="B295" s="170">
        <v>0</v>
      </c>
      <c r="C295" s="170">
        <v>0</v>
      </c>
      <c r="D295" s="170">
        <v>1</v>
      </c>
      <c r="E295" s="170">
        <v>9</v>
      </c>
      <c r="F295" s="170">
        <v>140</v>
      </c>
      <c r="G295" s="169">
        <v>926</v>
      </c>
      <c r="H295" s="169">
        <v>0.3</v>
      </c>
      <c r="I295" s="169">
        <v>7.8</v>
      </c>
      <c r="J295" s="170">
        <v>2.5</v>
      </c>
      <c r="K295" s="170">
        <v>2</v>
      </c>
      <c r="L295" s="169">
        <v>1.8000000000000007</v>
      </c>
      <c r="M295" s="169">
        <v>19.5</v>
      </c>
      <c r="N295" s="170">
        <v>9</v>
      </c>
      <c r="O295" s="169">
        <v>6.95</v>
      </c>
      <c r="P295" s="169">
        <v>2.7</v>
      </c>
    </row>
    <row r="296" spans="1:16" x14ac:dyDescent="0.25">
      <c r="A296" s="170">
        <v>295</v>
      </c>
      <c r="B296" s="170">
        <v>1</v>
      </c>
      <c r="C296" s="170">
        <v>0</v>
      </c>
      <c r="D296" s="170">
        <v>0</v>
      </c>
      <c r="E296" s="170">
        <v>6</v>
      </c>
      <c r="F296" s="170">
        <v>140</v>
      </c>
      <c r="G296" s="169">
        <v>1004</v>
      </c>
      <c r="H296" s="169">
        <v>0.6</v>
      </c>
      <c r="I296" s="169">
        <v>6.85</v>
      </c>
      <c r="J296" s="170">
        <v>2.5</v>
      </c>
      <c r="K296" s="170">
        <v>2</v>
      </c>
      <c r="L296" s="169">
        <v>1.7750000000000008</v>
      </c>
      <c r="M296" s="169">
        <v>19.600000000000001</v>
      </c>
      <c r="N296" s="170">
        <v>10</v>
      </c>
      <c r="O296" s="169">
        <v>6.2</v>
      </c>
      <c r="P296" s="169">
        <v>2.6</v>
      </c>
    </row>
    <row r="297" spans="1:16" x14ac:dyDescent="0.25">
      <c r="A297" s="170">
        <v>296</v>
      </c>
      <c r="B297" s="170">
        <v>0</v>
      </c>
      <c r="C297" s="170">
        <v>1</v>
      </c>
      <c r="D297" s="170">
        <v>0</v>
      </c>
      <c r="E297" s="170">
        <v>6</v>
      </c>
      <c r="F297" s="170">
        <v>140</v>
      </c>
      <c r="G297" s="169">
        <v>917</v>
      </c>
      <c r="H297" s="169">
        <v>0.3</v>
      </c>
      <c r="I297" s="169">
        <v>5.9</v>
      </c>
      <c r="J297" s="170">
        <v>2.5</v>
      </c>
      <c r="K297" s="170">
        <v>2</v>
      </c>
      <c r="L297" s="169">
        <v>1.7750000000000008</v>
      </c>
      <c r="M297" s="169">
        <v>18.600000000000001</v>
      </c>
      <c r="N297" s="170">
        <v>10</v>
      </c>
      <c r="O297" s="169">
        <v>6.8</v>
      </c>
      <c r="P297" s="169">
        <v>2.6</v>
      </c>
    </row>
    <row r="298" spans="1:16" x14ac:dyDescent="0.25">
      <c r="A298" s="170">
        <v>297</v>
      </c>
      <c r="B298" s="170">
        <v>0</v>
      </c>
      <c r="C298" s="170">
        <v>0</v>
      </c>
      <c r="D298" s="170">
        <v>1</v>
      </c>
      <c r="E298" s="170">
        <v>6</v>
      </c>
      <c r="F298" s="170">
        <v>140</v>
      </c>
      <c r="G298" s="169">
        <v>934</v>
      </c>
      <c r="H298" s="169">
        <v>0.3</v>
      </c>
      <c r="I298" s="169">
        <v>7.8</v>
      </c>
      <c r="J298" s="170">
        <v>2.5</v>
      </c>
      <c r="K298" s="170">
        <v>2</v>
      </c>
      <c r="L298" s="169">
        <v>1.7750000000000008</v>
      </c>
      <c r="M298" s="169">
        <v>18.5</v>
      </c>
      <c r="N298" s="170">
        <v>10</v>
      </c>
      <c r="O298" s="169">
        <v>7</v>
      </c>
      <c r="P298" s="169">
        <v>2.6</v>
      </c>
    </row>
    <row r="299" spans="1:16" x14ac:dyDescent="0.25">
      <c r="A299" s="170">
        <v>298</v>
      </c>
      <c r="B299" s="170">
        <v>1</v>
      </c>
      <c r="C299" s="170">
        <v>0</v>
      </c>
      <c r="D299" s="170">
        <v>0</v>
      </c>
      <c r="E299" s="170">
        <v>9</v>
      </c>
      <c r="F299" s="170">
        <v>140</v>
      </c>
      <c r="G299" s="169">
        <v>884</v>
      </c>
      <c r="H299" s="169">
        <v>0.3</v>
      </c>
      <c r="I299" s="169">
        <v>6.85</v>
      </c>
      <c r="J299" s="170">
        <v>2.5</v>
      </c>
      <c r="K299" s="170">
        <v>2</v>
      </c>
      <c r="L299" s="169">
        <v>1.7750000000000008</v>
      </c>
      <c r="M299" s="169">
        <v>20.8</v>
      </c>
      <c r="N299" s="170">
        <v>10</v>
      </c>
      <c r="O299" s="169">
        <v>6.7</v>
      </c>
      <c r="P299" s="169">
        <v>2.8</v>
      </c>
    </row>
    <row r="300" spans="1:16" x14ac:dyDescent="0.25">
      <c r="A300" s="170">
        <v>299</v>
      </c>
      <c r="B300" s="170">
        <v>0</v>
      </c>
      <c r="C300" s="170">
        <v>1</v>
      </c>
      <c r="D300" s="170">
        <v>0</v>
      </c>
      <c r="E300" s="170">
        <v>9</v>
      </c>
      <c r="F300" s="170">
        <v>140</v>
      </c>
      <c r="G300" s="169">
        <v>909</v>
      </c>
      <c r="H300" s="169">
        <v>0.3</v>
      </c>
      <c r="I300" s="169">
        <v>5.9</v>
      </c>
      <c r="J300" s="170">
        <v>2.5</v>
      </c>
      <c r="K300" s="170">
        <v>2</v>
      </c>
      <c r="L300" s="169">
        <v>1.7750000000000008</v>
      </c>
      <c r="M300" s="169">
        <v>20.5</v>
      </c>
      <c r="N300" s="170">
        <v>10</v>
      </c>
      <c r="O300" s="169">
        <v>6</v>
      </c>
      <c r="P300" s="169">
        <v>2.6</v>
      </c>
    </row>
    <row r="301" spans="1:16" x14ac:dyDescent="0.25">
      <c r="A301" s="170">
        <v>300</v>
      </c>
      <c r="B301" s="170">
        <v>0</v>
      </c>
      <c r="C301" s="170">
        <v>0</v>
      </c>
      <c r="D301" s="170">
        <v>1</v>
      </c>
      <c r="E301" s="170">
        <v>9</v>
      </c>
      <c r="F301" s="170">
        <v>140</v>
      </c>
      <c r="G301" s="169">
        <v>926</v>
      </c>
      <c r="H301" s="169">
        <v>0.3</v>
      </c>
      <c r="I301" s="169">
        <v>7.8</v>
      </c>
      <c r="J301" s="170">
        <v>2.5</v>
      </c>
      <c r="K301" s="170">
        <v>2</v>
      </c>
      <c r="L301" s="169">
        <v>1.7750000000000008</v>
      </c>
      <c r="M301" s="169">
        <v>19.5</v>
      </c>
      <c r="N301" s="170">
        <v>10</v>
      </c>
      <c r="O301" s="169">
        <v>6.8</v>
      </c>
      <c r="P301" s="169">
        <v>2.7</v>
      </c>
    </row>
    <row r="302" spans="1:16" x14ac:dyDescent="0.25">
      <c r="A302" s="170">
        <v>301</v>
      </c>
      <c r="B302" s="170">
        <v>1</v>
      </c>
      <c r="C302" s="170">
        <v>0</v>
      </c>
      <c r="D302" s="170">
        <v>0</v>
      </c>
      <c r="E302" s="170">
        <v>6</v>
      </c>
      <c r="F302" s="170">
        <v>140</v>
      </c>
      <c r="G302" s="169">
        <v>1004</v>
      </c>
      <c r="H302" s="169">
        <v>0.6</v>
      </c>
      <c r="I302" s="169">
        <v>6.85</v>
      </c>
      <c r="J302" s="170">
        <v>2.5</v>
      </c>
      <c r="K302" s="170">
        <v>2</v>
      </c>
      <c r="L302" s="169">
        <v>1.7500000000000009</v>
      </c>
      <c r="M302" s="169">
        <v>19.5</v>
      </c>
      <c r="N302" s="170">
        <v>11</v>
      </c>
      <c r="O302" s="169">
        <v>6.1</v>
      </c>
      <c r="P302" s="169">
        <v>2.6</v>
      </c>
    </row>
    <row r="303" spans="1:16" x14ac:dyDescent="0.25">
      <c r="A303" s="170">
        <v>302</v>
      </c>
      <c r="B303" s="170">
        <v>0</v>
      </c>
      <c r="C303" s="170">
        <v>1</v>
      </c>
      <c r="D303" s="170">
        <v>0</v>
      </c>
      <c r="E303" s="170">
        <v>6</v>
      </c>
      <c r="F303" s="170">
        <v>140</v>
      </c>
      <c r="G303" s="169">
        <v>917</v>
      </c>
      <c r="H303" s="169">
        <v>0.3</v>
      </c>
      <c r="I303" s="169">
        <v>5.9</v>
      </c>
      <c r="J303" s="170">
        <v>2.5</v>
      </c>
      <c r="K303" s="170">
        <v>2</v>
      </c>
      <c r="L303" s="169">
        <v>1.7500000000000009</v>
      </c>
      <c r="M303" s="169">
        <v>19</v>
      </c>
      <c r="N303" s="170">
        <v>11</v>
      </c>
      <c r="O303" s="169">
        <v>6.9</v>
      </c>
      <c r="P303" s="169">
        <v>2.6</v>
      </c>
    </row>
    <row r="304" spans="1:16" x14ac:dyDescent="0.25">
      <c r="A304" s="170">
        <v>303</v>
      </c>
      <c r="B304" s="170">
        <v>0</v>
      </c>
      <c r="C304" s="170">
        <v>0</v>
      </c>
      <c r="D304" s="170">
        <v>1</v>
      </c>
      <c r="E304" s="170">
        <v>6</v>
      </c>
      <c r="F304" s="170">
        <v>140</v>
      </c>
      <c r="G304" s="169">
        <v>934</v>
      </c>
      <c r="H304" s="169">
        <v>0.3</v>
      </c>
      <c r="I304" s="169">
        <v>7.8</v>
      </c>
      <c r="J304" s="170">
        <v>2.5</v>
      </c>
      <c r="K304" s="170">
        <v>2</v>
      </c>
      <c r="L304" s="169">
        <v>1.7500000000000009</v>
      </c>
      <c r="M304" s="169">
        <v>18.899999999999999</v>
      </c>
      <c r="N304" s="170">
        <v>11</v>
      </c>
      <c r="O304" s="169">
        <v>7</v>
      </c>
      <c r="P304" s="169">
        <v>2.6</v>
      </c>
    </row>
    <row r="305" spans="1:16" x14ac:dyDescent="0.25">
      <c r="A305" s="170">
        <v>304</v>
      </c>
      <c r="B305" s="170">
        <v>1</v>
      </c>
      <c r="C305" s="170">
        <v>0</v>
      </c>
      <c r="D305" s="170">
        <v>0</v>
      </c>
      <c r="E305" s="170">
        <v>9</v>
      </c>
      <c r="F305" s="170">
        <v>140</v>
      </c>
      <c r="G305" s="169">
        <v>884</v>
      </c>
      <c r="H305" s="169">
        <v>0.3</v>
      </c>
      <c r="I305" s="169">
        <v>6.85</v>
      </c>
      <c r="J305" s="170">
        <v>2.5</v>
      </c>
      <c r="K305" s="170">
        <v>2</v>
      </c>
      <c r="L305" s="169">
        <v>1.7500000000000009</v>
      </c>
      <c r="M305" s="169">
        <v>21.2</v>
      </c>
      <c r="N305" s="170">
        <v>11</v>
      </c>
      <c r="O305" s="169">
        <v>6.9</v>
      </c>
      <c r="P305" s="169">
        <v>2.7</v>
      </c>
    </row>
    <row r="306" spans="1:16" x14ac:dyDescent="0.25">
      <c r="A306" s="170">
        <v>305</v>
      </c>
      <c r="B306" s="170">
        <v>0</v>
      </c>
      <c r="C306" s="170">
        <v>1</v>
      </c>
      <c r="D306" s="170">
        <v>0</v>
      </c>
      <c r="E306" s="170">
        <v>9</v>
      </c>
      <c r="F306" s="170">
        <v>140</v>
      </c>
      <c r="G306" s="169">
        <v>909</v>
      </c>
      <c r="H306" s="169">
        <v>0.3</v>
      </c>
      <c r="I306" s="169">
        <v>5.9</v>
      </c>
      <c r="J306" s="170">
        <v>2.5</v>
      </c>
      <c r="K306" s="170">
        <v>2</v>
      </c>
      <c r="L306" s="169">
        <v>1.7500000000000009</v>
      </c>
      <c r="M306" s="169">
        <v>21.1</v>
      </c>
      <c r="N306" s="170">
        <v>11</v>
      </c>
      <c r="O306" s="169">
        <v>5.9</v>
      </c>
      <c r="P306" s="169">
        <v>2.5499999999999998</v>
      </c>
    </row>
    <row r="307" spans="1:16" x14ac:dyDescent="0.25">
      <c r="A307" s="170">
        <v>306</v>
      </c>
      <c r="B307" s="170">
        <v>0</v>
      </c>
      <c r="C307" s="170">
        <v>0</v>
      </c>
      <c r="D307" s="170">
        <v>1</v>
      </c>
      <c r="E307" s="170">
        <v>9</v>
      </c>
      <c r="F307" s="170">
        <v>140</v>
      </c>
      <c r="G307" s="169">
        <v>926</v>
      </c>
      <c r="H307" s="169">
        <v>0.3</v>
      </c>
      <c r="I307" s="169">
        <v>7.8</v>
      </c>
      <c r="J307" s="170">
        <v>2.5</v>
      </c>
      <c r="K307" s="170">
        <v>2</v>
      </c>
      <c r="L307" s="169">
        <v>1.7500000000000009</v>
      </c>
      <c r="M307" s="169">
        <v>20.5</v>
      </c>
      <c r="N307" s="170">
        <v>11</v>
      </c>
      <c r="O307" s="169">
        <v>6.6</v>
      </c>
      <c r="P307" s="169">
        <v>2.7</v>
      </c>
    </row>
    <row r="308" spans="1:16" x14ac:dyDescent="0.25">
      <c r="A308" s="170">
        <v>307</v>
      </c>
      <c r="B308" s="170">
        <v>1</v>
      </c>
      <c r="C308" s="170">
        <v>0</v>
      </c>
      <c r="D308" s="170">
        <v>0</v>
      </c>
      <c r="E308" s="170">
        <v>6</v>
      </c>
      <c r="F308" s="170">
        <v>140</v>
      </c>
      <c r="G308" s="169">
        <v>1004</v>
      </c>
      <c r="H308" s="169">
        <v>0.6</v>
      </c>
      <c r="I308" s="169">
        <v>6.85</v>
      </c>
      <c r="J308" s="170">
        <v>2.5</v>
      </c>
      <c r="K308" s="170">
        <v>2</v>
      </c>
      <c r="L308" s="169">
        <v>1.725000000000001</v>
      </c>
      <c r="M308" s="169">
        <v>20.8</v>
      </c>
      <c r="N308" s="170">
        <v>12</v>
      </c>
      <c r="O308" s="169">
        <v>6.15</v>
      </c>
      <c r="P308" s="169">
        <v>2.7</v>
      </c>
    </row>
    <row r="309" spans="1:16" x14ac:dyDescent="0.25">
      <c r="A309" s="170">
        <v>308</v>
      </c>
      <c r="B309" s="170">
        <v>0</v>
      </c>
      <c r="C309" s="170">
        <v>1</v>
      </c>
      <c r="D309" s="170">
        <v>0</v>
      </c>
      <c r="E309" s="170">
        <v>6</v>
      </c>
      <c r="F309" s="170">
        <v>140</v>
      </c>
      <c r="G309" s="169">
        <v>917</v>
      </c>
      <c r="H309" s="169">
        <v>0.3</v>
      </c>
      <c r="I309" s="169">
        <v>5.9</v>
      </c>
      <c r="J309" s="170">
        <v>2.5</v>
      </c>
      <c r="K309" s="170">
        <v>2</v>
      </c>
      <c r="L309" s="169">
        <v>1.725000000000001</v>
      </c>
      <c r="M309" s="169">
        <v>19.100000000000001</v>
      </c>
      <c r="N309" s="170">
        <v>12</v>
      </c>
      <c r="O309" s="169">
        <v>6.8</v>
      </c>
      <c r="P309" s="169">
        <v>2.7</v>
      </c>
    </row>
    <row r="310" spans="1:16" x14ac:dyDescent="0.25">
      <c r="A310" s="170">
        <v>309</v>
      </c>
      <c r="B310" s="170">
        <v>0</v>
      </c>
      <c r="C310" s="170">
        <v>0</v>
      </c>
      <c r="D310" s="170">
        <v>1</v>
      </c>
      <c r="E310" s="170">
        <v>6</v>
      </c>
      <c r="F310" s="170">
        <v>140</v>
      </c>
      <c r="G310" s="169">
        <v>934</v>
      </c>
      <c r="H310" s="169">
        <v>0.3</v>
      </c>
      <c r="I310" s="169">
        <v>7.8</v>
      </c>
      <c r="J310" s="170">
        <v>2.5</v>
      </c>
      <c r="K310" s="170">
        <v>2</v>
      </c>
      <c r="L310" s="169">
        <v>1.725000000000001</v>
      </c>
      <c r="M310" s="169">
        <v>19.899999999999999</v>
      </c>
      <c r="N310" s="170">
        <v>12</v>
      </c>
      <c r="O310" s="169">
        <v>7</v>
      </c>
      <c r="P310" s="169">
        <v>2.7</v>
      </c>
    </row>
    <row r="311" spans="1:16" x14ac:dyDescent="0.25">
      <c r="A311" s="170">
        <v>310</v>
      </c>
      <c r="B311" s="170">
        <v>1</v>
      </c>
      <c r="C311" s="170">
        <v>0</v>
      </c>
      <c r="D311" s="170">
        <v>0</v>
      </c>
      <c r="E311" s="170">
        <v>9</v>
      </c>
      <c r="F311" s="170">
        <v>140</v>
      </c>
      <c r="G311" s="169">
        <v>884</v>
      </c>
      <c r="H311" s="169">
        <v>0.3</v>
      </c>
      <c r="I311" s="169">
        <v>6.85</v>
      </c>
      <c r="J311" s="170">
        <v>2.5</v>
      </c>
      <c r="K311" s="170">
        <v>2</v>
      </c>
      <c r="L311" s="169">
        <v>1.725000000000001</v>
      </c>
      <c r="M311" s="169">
        <v>22.2</v>
      </c>
      <c r="N311" s="170">
        <v>12</v>
      </c>
      <c r="O311" s="169">
        <v>6.6</v>
      </c>
      <c r="P311" s="169">
        <v>2.8</v>
      </c>
    </row>
    <row r="312" spans="1:16" x14ac:dyDescent="0.25">
      <c r="A312" s="170">
        <v>311</v>
      </c>
      <c r="B312" s="170">
        <v>0</v>
      </c>
      <c r="C312" s="170">
        <v>1</v>
      </c>
      <c r="D312" s="170">
        <v>0</v>
      </c>
      <c r="E312" s="170">
        <v>9</v>
      </c>
      <c r="F312" s="170">
        <v>140</v>
      </c>
      <c r="G312" s="169">
        <v>909</v>
      </c>
      <c r="H312" s="169">
        <v>0.3</v>
      </c>
      <c r="I312" s="169">
        <v>5.9</v>
      </c>
      <c r="J312" s="170">
        <v>2.5</v>
      </c>
      <c r="K312" s="170">
        <v>2</v>
      </c>
      <c r="L312" s="169">
        <v>1.725000000000001</v>
      </c>
      <c r="M312" s="169">
        <v>21.2</v>
      </c>
      <c r="N312" s="170">
        <v>12</v>
      </c>
      <c r="O312" s="169">
        <v>5.9</v>
      </c>
      <c r="P312" s="169">
        <v>2.6</v>
      </c>
    </row>
    <row r="313" spans="1:16" x14ac:dyDescent="0.25">
      <c r="A313" s="170">
        <v>312</v>
      </c>
      <c r="B313" s="170">
        <v>0</v>
      </c>
      <c r="C313" s="170">
        <v>0</v>
      </c>
      <c r="D313" s="170">
        <v>1</v>
      </c>
      <c r="E313" s="170">
        <v>9</v>
      </c>
      <c r="F313" s="170">
        <v>140</v>
      </c>
      <c r="G313" s="169">
        <v>926</v>
      </c>
      <c r="H313" s="169">
        <v>0.3</v>
      </c>
      <c r="I313" s="169">
        <v>7.8</v>
      </c>
      <c r="J313" s="170">
        <v>2.5</v>
      </c>
      <c r="K313" s="170">
        <v>2</v>
      </c>
      <c r="L313" s="169">
        <v>1.725000000000001</v>
      </c>
      <c r="M313" s="169">
        <v>20.5</v>
      </c>
      <c r="N313" s="170">
        <v>12</v>
      </c>
      <c r="O313" s="169">
        <v>6.6</v>
      </c>
      <c r="P313" s="169">
        <v>2.8</v>
      </c>
    </row>
    <row r="314" spans="1:16" x14ac:dyDescent="0.25">
      <c r="A314" s="170">
        <v>313</v>
      </c>
      <c r="B314" s="170">
        <v>1</v>
      </c>
      <c r="C314" s="170">
        <v>0</v>
      </c>
      <c r="D314" s="170">
        <v>0</v>
      </c>
      <c r="E314" s="170">
        <v>6</v>
      </c>
      <c r="F314" s="170">
        <v>140</v>
      </c>
      <c r="G314" s="169">
        <v>1004</v>
      </c>
      <c r="H314" s="169">
        <v>0.6</v>
      </c>
      <c r="I314" s="169">
        <v>6.85</v>
      </c>
      <c r="J314" s="170">
        <v>2.5</v>
      </c>
      <c r="K314" s="170">
        <v>2</v>
      </c>
      <c r="L314" s="169">
        <v>1.7000000000000011</v>
      </c>
      <c r="M314" s="169">
        <v>20.9</v>
      </c>
      <c r="N314" s="170">
        <v>13</v>
      </c>
      <c r="O314" s="169">
        <v>6.1</v>
      </c>
      <c r="P314" s="169">
        <v>2.6</v>
      </c>
    </row>
    <row r="315" spans="1:16" x14ac:dyDescent="0.25">
      <c r="A315" s="170">
        <v>314</v>
      </c>
      <c r="B315" s="170">
        <v>0</v>
      </c>
      <c r="C315" s="170">
        <v>1</v>
      </c>
      <c r="D315" s="170">
        <v>0</v>
      </c>
      <c r="E315" s="170">
        <v>6</v>
      </c>
      <c r="F315" s="170">
        <v>140</v>
      </c>
      <c r="G315" s="169">
        <v>917</v>
      </c>
      <c r="H315" s="169">
        <v>0.3</v>
      </c>
      <c r="I315" s="169">
        <v>5.9</v>
      </c>
      <c r="J315" s="170">
        <v>2.5</v>
      </c>
      <c r="K315" s="170">
        <v>2</v>
      </c>
      <c r="L315" s="169">
        <v>1.7000000000000011</v>
      </c>
      <c r="M315" s="169">
        <v>19.2</v>
      </c>
      <c r="N315" s="170">
        <v>13</v>
      </c>
      <c r="O315" s="169">
        <v>6.9</v>
      </c>
      <c r="P315" s="169">
        <v>2.7</v>
      </c>
    </row>
    <row r="316" spans="1:16" x14ac:dyDescent="0.25">
      <c r="A316" s="170">
        <v>315</v>
      </c>
      <c r="B316" s="170">
        <v>0</v>
      </c>
      <c r="C316" s="170">
        <v>0</v>
      </c>
      <c r="D316" s="170">
        <v>1</v>
      </c>
      <c r="E316" s="170">
        <v>6</v>
      </c>
      <c r="F316" s="170">
        <v>140</v>
      </c>
      <c r="G316" s="169">
        <v>934</v>
      </c>
      <c r="H316" s="169">
        <v>0.3</v>
      </c>
      <c r="I316" s="169">
        <v>7.8</v>
      </c>
      <c r="J316" s="170">
        <v>2.5</v>
      </c>
      <c r="K316" s="170">
        <v>2</v>
      </c>
      <c r="L316" s="169">
        <v>1.7000000000000011</v>
      </c>
      <c r="M316" s="169">
        <v>19.899999999999999</v>
      </c>
      <c r="N316" s="170">
        <v>13</v>
      </c>
      <c r="O316" s="169">
        <v>7</v>
      </c>
      <c r="P316" s="169">
        <v>2.6</v>
      </c>
    </row>
    <row r="317" spans="1:16" x14ac:dyDescent="0.25">
      <c r="A317" s="170">
        <v>316</v>
      </c>
      <c r="B317" s="170">
        <v>1</v>
      </c>
      <c r="C317" s="170">
        <v>0</v>
      </c>
      <c r="D317" s="170">
        <v>0</v>
      </c>
      <c r="E317" s="170">
        <v>9</v>
      </c>
      <c r="F317" s="170">
        <v>140</v>
      </c>
      <c r="G317" s="169">
        <v>884</v>
      </c>
      <c r="H317" s="169">
        <v>0.3</v>
      </c>
      <c r="I317" s="169">
        <v>6.85</v>
      </c>
      <c r="J317" s="170">
        <v>2.5</v>
      </c>
      <c r="K317" s="170">
        <v>2</v>
      </c>
      <c r="L317" s="169">
        <v>1.7000000000000011</v>
      </c>
      <c r="M317" s="169">
        <v>22.5</v>
      </c>
      <c r="N317" s="170">
        <v>13</v>
      </c>
      <c r="O317" s="169">
        <v>6.85</v>
      </c>
      <c r="P317" s="169">
        <v>2.7</v>
      </c>
    </row>
    <row r="318" spans="1:16" x14ac:dyDescent="0.25">
      <c r="A318" s="170">
        <v>317</v>
      </c>
      <c r="B318" s="170">
        <v>0</v>
      </c>
      <c r="C318" s="170">
        <v>1</v>
      </c>
      <c r="D318" s="170">
        <v>0</v>
      </c>
      <c r="E318" s="170">
        <v>9</v>
      </c>
      <c r="F318" s="170">
        <v>140</v>
      </c>
      <c r="G318" s="169">
        <v>909</v>
      </c>
      <c r="H318" s="169">
        <v>0.3</v>
      </c>
      <c r="I318" s="169">
        <v>5.9</v>
      </c>
      <c r="J318" s="170">
        <v>2.5</v>
      </c>
      <c r="K318" s="170">
        <v>2</v>
      </c>
      <c r="L318" s="169">
        <v>1.7000000000000011</v>
      </c>
      <c r="M318" s="169">
        <v>21.3</v>
      </c>
      <c r="N318" s="170">
        <v>13</v>
      </c>
      <c r="O318" s="169">
        <v>5.85</v>
      </c>
      <c r="P318" s="169">
        <v>2.6</v>
      </c>
    </row>
    <row r="319" spans="1:16" x14ac:dyDescent="0.25">
      <c r="A319" s="170">
        <v>318</v>
      </c>
      <c r="B319" s="170">
        <v>0</v>
      </c>
      <c r="C319" s="170">
        <v>0</v>
      </c>
      <c r="D319" s="170">
        <v>1</v>
      </c>
      <c r="E319" s="170">
        <v>9</v>
      </c>
      <c r="F319" s="170">
        <v>140</v>
      </c>
      <c r="G319" s="169">
        <v>926</v>
      </c>
      <c r="H319" s="169">
        <v>0.3</v>
      </c>
      <c r="I319" s="169">
        <v>7.8</v>
      </c>
      <c r="J319" s="170">
        <v>2.5</v>
      </c>
      <c r="K319" s="170">
        <v>2</v>
      </c>
      <c r="L319" s="169">
        <v>1.7000000000000011</v>
      </c>
      <c r="M319" s="169">
        <v>20.5</v>
      </c>
      <c r="N319" s="170">
        <v>13</v>
      </c>
      <c r="O319" s="169">
        <v>6.5</v>
      </c>
      <c r="P319" s="169">
        <v>2.7</v>
      </c>
    </row>
    <row r="320" spans="1:16" x14ac:dyDescent="0.25">
      <c r="A320" s="170">
        <v>319</v>
      </c>
      <c r="B320" s="170">
        <v>1</v>
      </c>
      <c r="C320" s="170">
        <v>0</v>
      </c>
      <c r="D320" s="170">
        <v>0</v>
      </c>
      <c r="E320" s="170">
        <v>6</v>
      </c>
      <c r="F320" s="170">
        <v>140</v>
      </c>
      <c r="G320" s="169">
        <v>1004</v>
      </c>
      <c r="H320" s="169">
        <v>0.6</v>
      </c>
      <c r="I320" s="169">
        <v>6.85</v>
      </c>
      <c r="J320" s="170">
        <v>2.5</v>
      </c>
      <c r="K320" s="170">
        <v>2</v>
      </c>
      <c r="L320" s="169">
        <v>1.6750000000000012</v>
      </c>
      <c r="M320" s="169">
        <v>20.9</v>
      </c>
      <c r="N320" s="170">
        <v>14</v>
      </c>
      <c r="O320" s="169">
        <v>6</v>
      </c>
      <c r="P320" s="169">
        <v>2.6</v>
      </c>
    </row>
    <row r="321" spans="1:16" x14ac:dyDescent="0.25">
      <c r="A321" s="170">
        <v>320</v>
      </c>
      <c r="B321" s="170">
        <v>0</v>
      </c>
      <c r="C321" s="170">
        <v>1</v>
      </c>
      <c r="D321" s="170">
        <v>0</v>
      </c>
      <c r="E321" s="170">
        <v>6</v>
      </c>
      <c r="F321" s="170">
        <v>140</v>
      </c>
      <c r="G321" s="169">
        <v>917</v>
      </c>
      <c r="H321" s="169">
        <v>0.3</v>
      </c>
      <c r="I321" s="169">
        <v>5.9</v>
      </c>
      <c r="J321" s="170">
        <v>2.5</v>
      </c>
      <c r="K321" s="170">
        <v>2</v>
      </c>
      <c r="L321" s="169">
        <v>1.6750000000000012</v>
      </c>
      <c r="M321" s="169">
        <v>19.2</v>
      </c>
      <c r="N321" s="170">
        <v>14</v>
      </c>
      <c r="O321" s="169">
        <v>6.8</v>
      </c>
      <c r="P321" s="169">
        <v>2.6</v>
      </c>
    </row>
    <row r="322" spans="1:16" x14ac:dyDescent="0.25">
      <c r="A322" s="170">
        <v>321</v>
      </c>
      <c r="B322" s="170">
        <v>0</v>
      </c>
      <c r="C322" s="170">
        <v>0</v>
      </c>
      <c r="D322" s="170">
        <v>1</v>
      </c>
      <c r="E322" s="170">
        <v>6</v>
      </c>
      <c r="F322" s="170">
        <v>140</v>
      </c>
      <c r="G322" s="169">
        <v>934</v>
      </c>
      <c r="H322" s="169">
        <v>0.3</v>
      </c>
      <c r="I322" s="169">
        <v>7.8</v>
      </c>
      <c r="J322" s="170">
        <v>2.5</v>
      </c>
      <c r="K322" s="170">
        <v>2</v>
      </c>
      <c r="L322" s="169">
        <v>1.6750000000000012</v>
      </c>
      <c r="M322" s="169">
        <v>19.899999999999999</v>
      </c>
      <c r="N322" s="170">
        <v>14</v>
      </c>
      <c r="O322" s="169">
        <v>7</v>
      </c>
      <c r="P322" s="169">
        <v>2.6</v>
      </c>
    </row>
    <row r="323" spans="1:16" x14ac:dyDescent="0.25">
      <c r="A323" s="170">
        <v>322</v>
      </c>
      <c r="B323" s="170">
        <v>1</v>
      </c>
      <c r="C323" s="170">
        <v>0</v>
      </c>
      <c r="D323" s="170">
        <v>0</v>
      </c>
      <c r="E323" s="170">
        <v>9</v>
      </c>
      <c r="F323" s="170">
        <v>140</v>
      </c>
      <c r="G323" s="169">
        <v>884</v>
      </c>
      <c r="H323" s="169">
        <v>0.3</v>
      </c>
      <c r="I323" s="169">
        <v>6.85</v>
      </c>
      <c r="J323" s="170">
        <v>2.5</v>
      </c>
      <c r="K323" s="170">
        <v>2</v>
      </c>
      <c r="L323" s="169">
        <v>1.6750000000000012</v>
      </c>
      <c r="M323" s="169">
        <v>22.5</v>
      </c>
      <c r="N323" s="170">
        <v>14</v>
      </c>
      <c r="O323" s="169">
        <v>6.75</v>
      </c>
      <c r="P323" s="169">
        <v>2.7</v>
      </c>
    </row>
    <row r="324" spans="1:16" x14ac:dyDescent="0.25">
      <c r="A324" s="170">
        <v>323</v>
      </c>
      <c r="B324" s="170">
        <v>0</v>
      </c>
      <c r="C324" s="170">
        <v>1</v>
      </c>
      <c r="D324" s="170">
        <v>0</v>
      </c>
      <c r="E324" s="170">
        <v>9</v>
      </c>
      <c r="F324" s="170">
        <v>140</v>
      </c>
      <c r="G324" s="169">
        <v>909</v>
      </c>
      <c r="H324" s="169">
        <v>0.3</v>
      </c>
      <c r="I324" s="169">
        <v>5.9</v>
      </c>
      <c r="J324" s="170">
        <v>2.5</v>
      </c>
      <c r="K324" s="170">
        <v>2</v>
      </c>
      <c r="L324" s="169">
        <v>1.6750000000000012</v>
      </c>
      <c r="M324" s="169">
        <v>21.3</v>
      </c>
      <c r="N324" s="170">
        <v>14</v>
      </c>
      <c r="O324" s="169">
        <v>5.8</v>
      </c>
      <c r="P324" s="169">
        <v>2.6</v>
      </c>
    </row>
    <row r="325" spans="1:16" x14ac:dyDescent="0.25">
      <c r="A325" s="170">
        <v>324</v>
      </c>
      <c r="B325" s="170">
        <v>0</v>
      </c>
      <c r="C325" s="170">
        <v>0</v>
      </c>
      <c r="D325" s="170">
        <v>1</v>
      </c>
      <c r="E325" s="170">
        <v>9</v>
      </c>
      <c r="F325" s="170">
        <v>140</v>
      </c>
      <c r="G325" s="169">
        <v>926</v>
      </c>
      <c r="H325" s="169">
        <v>0.3</v>
      </c>
      <c r="I325" s="169">
        <v>7.8</v>
      </c>
      <c r="J325" s="170">
        <v>2.5</v>
      </c>
      <c r="K325" s="170">
        <v>2</v>
      </c>
      <c r="L325" s="169">
        <v>1.6750000000000012</v>
      </c>
      <c r="M325" s="169">
        <v>20.5</v>
      </c>
      <c r="N325" s="170">
        <v>14</v>
      </c>
      <c r="O325" s="169">
        <v>6.45</v>
      </c>
      <c r="P325" s="169">
        <v>2.7</v>
      </c>
    </row>
    <row r="326" spans="1:16" x14ac:dyDescent="0.25">
      <c r="A326" s="170">
        <v>325</v>
      </c>
      <c r="B326" s="170">
        <v>1</v>
      </c>
      <c r="C326" s="170">
        <v>0</v>
      </c>
      <c r="D326" s="170">
        <v>0</v>
      </c>
      <c r="E326" s="170">
        <v>6</v>
      </c>
      <c r="F326" s="170">
        <v>140</v>
      </c>
      <c r="G326" s="169">
        <v>1004</v>
      </c>
      <c r="H326" s="169">
        <v>0.6</v>
      </c>
      <c r="I326" s="169">
        <v>6.85</v>
      </c>
      <c r="J326" s="170">
        <v>2.5</v>
      </c>
      <c r="K326" s="170">
        <v>2</v>
      </c>
      <c r="L326" s="169">
        <v>1.6500000000000012</v>
      </c>
      <c r="M326" s="169">
        <v>20.9</v>
      </c>
      <c r="N326" s="170">
        <v>15</v>
      </c>
      <c r="O326" s="169">
        <v>6</v>
      </c>
      <c r="P326" s="169">
        <v>2.6</v>
      </c>
    </row>
    <row r="327" spans="1:16" x14ac:dyDescent="0.25">
      <c r="A327" s="170">
        <v>326</v>
      </c>
      <c r="B327" s="170">
        <v>0</v>
      </c>
      <c r="C327" s="170">
        <v>1</v>
      </c>
      <c r="D327" s="170">
        <v>0</v>
      </c>
      <c r="E327" s="170">
        <v>6</v>
      </c>
      <c r="F327" s="170">
        <v>140</v>
      </c>
      <c r="G327" s="169">
        <v>917</v>
      </c>
      <c r="H327" s="169">
        <v>0.3</v>
      </c>
      <c r="I327" s="169">
        <v>5.9</v>
      </c>
      <c r="J327" s="170">
        <v>2.5</v>
      </c>
      <c r="K327" s="170">
        <v>2</v>
      </c>
      <c r="L327" s="169">
        <v>1.6500000000000012</v>
      </c>
      <c r="M327" s="169">
        <v>19.2</v>
      </c>
      <c r="N327" s="170">
        <v>15</v>
      </c>
      <c r="O327" s="169">
        <v>6.7</v>
      </c>
      <c r="P327" s="169">
        <v>2.6</v>
      </c>
    </row>
    <row r="328" spans="1:16" x14ac:dyDescent="0.25">
      <c r="A328" s="170">
        <v>327</v>
      </c>
      <c r="B328" s="170">
        <v>0</v>
      </c>
      <c r="C328" s="170">
        <v>0</v>
      </c>
      <c r="D328" s="170">
        <v>1</v>
      </c>
      <c r="E328" s="170">
        <v>6</v>
      </c>
      <c r="F328" s="170">
        <v>140</v>
      </c>
      <c r="G328" s="169">
        <v>934</v>
      </c>
      <c r="H328" s="169">
        <v>0.3</v>
      </c>
      <c r="I328" s="169">
        <v>7.8</v>
      </c>
      <c r="J328" s="170">
        <v>2.5</v>
      </c>
      <c r="K328" s="170">
        <v>2</v>
      </c>
      <c r="L328" s="169">
        <v>1.6500000000000012</v>
      </c>
      <c r="M328" s="169">
        <v>19.899999999999999</v>
      </c>
      <c r="N328" s="170">
        <v>15</v>
      </c>
      <c r="O328" s="169">
        <v>7</v>
      </c>
      <c r="P328" s="169">
        <v>2.6</v>
      </c>
    </row>
    <row r="329" spans="1:16" x14ac:dyDescent="0.25">
      <c r="A329" s="170">
        <v>328</v>
      </c>
      <c r="B329" s="170">
        <v>1</v>
      </c>
      <c r="C329" s="170">
        <v>0</v>
      </c>
      <c r="D329" s="170">
        <v>0</v>
      </c>
      <c r="E329" s="170">
        <v>9</v>
      </c>
      <c r="F329" s="170">
        <v>140</v>
      </c>
      <c r="G329" s="169">
        <v>884</v>
      </c>
      <c r="H329" s="169">
        <v>0.3</v>
      </c>
      <c r="I329" s="169">
        <v>6.85</v>
      </c>
      <c r="J329" s="170">
        <v>2.5</v>
      </c>
      <c r="K329" s="170">
        <v>2</v>
      </c>
      <c r="L329" s="169">
        <v>1.6500000000000012</v>
      </c>
      <c r="M329" s="169">
        <v>22.5</v>
      </c>
      <c r="N329" s="170">
        <v>15</v>
      </c>
      <c r="O329" s="169">
        <v>6.7</v>
      </c>
      <c r="P329" s="169">
        <v>2.7</v>
      </c>
    </row>
    <row r="330" spans="1:16" x14ac:dyDescent="0.25">
      <c r="A330" s="170">
        <v>329</v>
      </c>
      <c r="B330" s="170">
        <v>0</v>
      </c>
      <c r="C330" s="170">
        <v>1</v>
      </c>
      <c r="D330" s="170">
        <v>0</v>
      </c>
      <c r="E330" s="170">
        <v>9</v>
      </c>
      <c r="F330" s="170">
        <v>140</v>
      </c>
      <c r="G330" s="169">
        <v>909</v>
      </c>
      <c r="H330" s="169">
        <v>0.3</v>
      </c>
      <c r="I330" s="169">
        <v>5.9</v>
      </c>
      <c r="J330" s="170">
        <v>2.5</v>
      </c>
      <c r="K330" s="170">
        <v>2</v>
      </c>
      <c r="L330" s="169">
        <v>1.6500000000000012</v>
      </c>
      <c r="M330" s="169">
        <v>21.3</v>
      </c>
      <c r="N330" s="170">
        <v>15</v>
      </c>
      <c r="O330" s="169">
        <v>5.8</v>
      </c>
      <c r="P330" s="169">
        <v>2.6</v>
      </c>
    </row>
    <row r="331" spans="1:16" x14ac:dyDescent="0.25">
      <c r="A331" s="170">
        <v>330</v>
      </c>
      <c r="B331" s="170">
        <v>0</v>
      </c>
      <c r="C331" s="170">
        <v>0</v>
      </c>
      <c r="D331" s="170">
        <v>1</v>
      </c>
      <c r="E331" s="170">
        <v>9</v>
      </c>
      <c r="F331" s="170">
        <v>140</v>
      </c>
      <c r="G331" s="169">
        <v>926</v>
      </c>
      <c r="H331" s="169">
        <v>0.3</v>
      </c>
      <c r="I331" s="169">
        <v>7.8</v>
      </c>
      <c r="J331" s="170">
        <v>2.5</v>
      </c>
      <c r="K331" s="170">
        <v>2</v>
      </c>
      <c r="L331" s="169">
        <v>1.6500000000000012</v>
      </c>
      <c r="M331" s="169">
        <v>20.5</v>
      </c>
      <c r="N331" s="170">
        <v>15</v>
      </c>
      <c r="O331" s="169">
        <v>6.4</v>
      </c>
      <c r="P331" s="169">
        <v>2.7</v>
      </c>
    </row>
    <row r="332" spans="1:16" x14ac:dyDescent="0.25">
      <c r="A332" s="170">
        <v>331</v>
      </c>
      <c r="B332" s="170">
        <v>1</v>
      </c>
      <c r="C332" s="170">
        <v>0</v>
      </c>
      <c r="D332" s="170">
        <v>0</v>
      </c>
      <c r="E332" s="170">
        <v>6</v>
      </c>
      <c r="F332" s="170">
        <v>140</v>
      </c>
      <c r="G332" s="169">
        <v>1004</v>
      </c>
      <c r="H332" s="169">
        <v>0.6</v>
      </c>
      <c r="I332" s="169">
        <v>6.85</v>
      </c>
      <c r="J332" s="170">
        <v>2.5</v>
      </c>
      <c r="K332" s="170">
        <v>2</v>
      </c>
      <c r="L332" s="169">
        <v>1.6250000000000013</v>
      </c>
      <c r="M332" s="169">
        <v>20.8</v>
      </c>
      <c r="N332" s="170">
        <v>16</v>
      </c>
      <c r="O332" s="169">
        <v>5.9</v>
      </c>
      <c r="P332" s="169">
        <v>2.6</v>
      </c>
    </row>
    <row r="333" spans="1:16" x14ac:dyDescent="0.25">
      <c r="A333" s="170">
        <v>332</v>
      </c>
      <c r="B333" s="170">
        <v>0</v>
      </c>
      <c r="C333" s="170">
        <v>1</v>
      </c>
      <c r="D333" s="170">
        <v>0</v>
      </c>
      <c r="E333" s="170">
        <v>6</v>
      </c>
      <c r="F333" s="170">
        <v>140</v>
      </c>
      <c r="G333" s="169">
        <v>917</v>
      </c>
      <c r="H333" s="169">
        <v>0.3</v>
      </c>
      <c r="I333" s="169">
        <v>5.9</v>
      </c>
      <c r="J333" s="170">
        <v>2.5</v>
      </c>
      <c r="K333" s="170">
        <v>2</v>
      </c>
      <c r="L333" s="169">
        <v>1.6250000000000013</v>
      </c>
      <c r="M333" s="169">
        <v>19.3</v>
      </c>
      <c r="N333" s="170">
        <v>16</v>
      </c>
      <c r="O333" s="169">
        <v>6.65</v>
      </c>
      <c r="P333" s="169">
        <v>2.6</v>
      </c>
    </row>
    <row r="334" spans="1:16" x14ac:dyDescent="0.25">
      <c r="A334" s="170">
        <v>333</v>
      </c>
      <c r="B334" s="170">
        <v>0</v>
      </c>
      <c r="C334" s="170">
        <v>0</v>
      </c>
      <c r="D334" s="170">
        <v>1</v>
      </c>
      <c r="E334" s="170">
        <v>6</v>
      </c>
      <c r="F334" s="170">
        <v>140</v>
      </c>
      <c r="G334" s="169">
        <v>934</v>
      </c>
      <c r="H334" s="169">
        <v>0.3</v>
      </c>
      <c r="I334" s="169">
        <v>7.8</v>
      </c>
      <c r="J334" s="170">
        <v>2.5</v>
      </c>
      <c r="K334" s="170">
        <v>2</v>
      </c>
      <c r="L334" s="169">
        <v>1.6250000000000013</v>
      </c>
      <c r="M334" s="169">
        <v>20.3</v>
      </c>
      <c r="N334" s="170">
        <v>16</v>
      </c>
      <c r="O334" s="169">
        <v>6.95</v>
      </c>
      <c r="P334" s="169">
        <v>2.6</v>
      </c>
    </row>
    <row r="335" spans="1:16" x14ac:dyDescent="0.25">
      <c r="A335" s="170">
        <v>334</v>
      </c>
      <c r="B335" s="170">
        <v>1</v>
      </c>
      <c r="C335" s="170">
        <v>0</v>
      </c>
      <c r="D335" s="170">
        <v>0</v>
      </c>
      <c r="E335" s="170">
        <v>9</v>
      </c>
      <c r="F335" s="170">
        <v>140</v>
      </c>
      <c r="G335" s="169">
        <v>884</v>
      </c>
      <c r="H335" s="169">
        <v>0.3</v>
      </c>
      <c r="I335" s="169">
        <v>6.85</v>
      </c>
      <c r="J335" s="170">
        <v>2.5</v>
      </c>
      <c r="K335" s="170">
        <v>2</v>
      </c>
      <c r="L335" s="169">
        <v>1.6250000000000013</v>
      </c>
      <c r="M335" s="169">
        <v>22.6</v>
      </c>
      <c r="N335" s="170">
        <v>16</v>
      </c>
      <c r="O335" s="169">
        <v>6.7</v>
      </c>
      <c r="P335" s="169">
        <v>2.7</v>
      </c>
    </row>
    <row r="336" spans="1:16" x14ac:dyDescent="0.25">
      <c r="A336" s="170">
        <v>335</v>
      </c>
      <c r="B336" s="170">
        <v>0</v>
      </c>
      <c r="C336" s="170">
        <v>1</v>
      </c>
      <c r="D336" s="170">
        <v>0</v>
      </c>
      <c r="E336" s="170">
        <v>9</v>
      </c>
      <c r="F336" s="170">
        <v>140</v>
      </c>
      <c r="G336" s="169">
        <v>909</v>
      </c>
      <c r="H336" s="169">
        <v>0.3</v>
      </c>
      <c r="I336" s="169">
        <v>5.9</v>
      </c>
      <c r="J336" s="170">
        <v>2.5</v>
      </c>
      <c r="K336" s="170">
        <v>2</v>
      </c>
      <c r="L336" s="169">
        <v>1.6250000000000013</v>
      </c>
      <c r="M336" s="169">
        <v>21.9</v>
      </c>
      <c r="N336" s="170">
        <v>16</v>
      </c>
      <c r="O336" s="169">
        <v>5.8</v>
      </c>
      <c r="P336" s="169">
        <v>2.5</v>
      </c>
    </row>
    <row r="337" spans="1:16" x14ac:dyDescent="0.25">
      <c r="A337" s="170">
        <v>336</v>
      </c>
      <c r="B337" s="170">
        <v>0</v>
      </c>
      <c r="C337" s="170">
        <v>0</v>
      </c>
      <c r="D337" s="170">
        <v>1</v>
      </c>
      <c r="E337" s="170">
        <v>9</v>
      </c>
      <c r="F337" s="170">
        <v>140</v>
      </c>
      <c r="G337" s="169">
        <v>926</v>
      </c>
      <c r="H337" s="169">
        <v>0.3</v>
      </c>
      <c r="I337" s="169">
        <v>7.8</v>
      </c>
      <c r="J337" s="170">
        <v>2.5</v>
      </c>
      <c r="K337" s="170">
        <v>2</v>
      </c>
      <c r="L337" s="169">
        <v>1.6250000000000013</v>
      </c>
      <c r="M337" s="169">
        <v>20.2</v>
      </c>
      <c r="N337" s="170">
        <v>16</v>
      </c>
      <c r="O337" s="169">
        <v>6.3</v>
      </c>
      <c r="P337" s="169">
        <v>2.7</v>
      </c>
    </row>
    <row r="338" spans="1:16" x14ac:dyDescent="0.25">
      <c r="A338" s="170">
        <v>337</v>
      </c>
      <c r="B338" s="170">
        <v>1</v>
      </c>
      <c r="C338" s="170">
        <v>0</v>
      </c>
      <c r="D338" s="170">
        <v>0</v>
      </c>
      <c r="E338" s="170">
        <v>6</v>
      </c>
      <c r="F338" s="170">
        <v>140</v>
      </c>
      <c r="G338" s="169">
        <v>1004</v>
      </c>
      <c r="H338" s="169">
        <v>0.6</v>
      </c>
      <c r="I338" s="169">
        <v>6.85</v>
      </c>
      <c r="J338" s="170">
        <v>2.5</v>
      </c>
      <c r="K338" s="170">
        <v>2</v>
      </c>
      <c r="L338" s="169">
        <v>1.6000000000000014</v>
      </c>
      <c r="M338" s="169">
        <v>20.8</v>
      </c>
      <c r="N338" s="170">
        <v>17</v>
      </c>
      <c r="O338" s="169">
        <v>6</v>
      </c>
      <c r="P338" s="169">
        <v>2.6</v>
      </c>
    </row>
    <row r="339" spans="1:16" x14ac:dyDescent="0.25">
      <c r="A339" s="170">
        <v>338</v>
      </c>
      <c r="B339" s="170">
        <v>0</v>
      </c>
      <c r="C339" s="170">
        <v>1</v>
      </c>
      <c r="D339" s="170">
        <v>0</v>
      </c>
      <c r="E339" s="170">
        <v>6</v>
      </c>
      <c r="F339" s="170">
        <v>140</v>
      </c>
      <c r="G339" s="169">
        <v>917</v>
      </c>
      <c r="H339" s="169">
        <v>0.3</v>
      </c>
      <c r="I339" s="169">
        <v>5.9</v>
      </c>
      <c r="J339" s="170">
        <v>2.5</v>
      </c>
      <c r="K339" s="170">
        <v>2</v>
      </c>
      <c r="L339" s="169">
        <v>1.6000000000000014</v>
      </c>
      <c r="M339" s="169">
        <v>19.3</v>
      </c>
      <c r="N339" s="170">
        <v>17</v>
      </c>
      <c r="O339" s="169">
        <v>6.6</v>
      </c>
      <c r="P339" s="169">
        <v>2.6</v>
      </c>
    </row>
    <row r="340" spans="1:16" x14ac:dyDescent="0.25">
      <c r="A340" s="170">
        <v>339</v>
      </c>
      <c r="B340" s="170">
        <v>0</v>
      </c>
      <c r="C340" s="170">
        <v>0</v>
      </c>
      <c r="D340" s="170">
        <v>1</v>
      </c>
      <c r="E340" s="170">
        <v>6</v>
      </c>
      <c r="F340" s="170">
        <v>140</v>
      </c>
      <c r="G340" s="169">
        <v>934</v>
      </c>
      <c r="H340" s="169">
        <v>0.3</v>
      </c>
      <c r="I340" s="169">
        <v>7.8</v>
      </c>
      <c r="J340" s="170">
        <v>2.5</v>
      </c>
      <c r="K340" s="170">
        <v>2</v>
      </c>
      <c r="L340" s="169">
        <v>1.6000000000000014</v>
      </c>
      <c r="M340" s="169">
        <v>20.3</v>
      </c>
      <c r="N340" s="170">
        <v>17</v>
      </c>
      <c r="O340" s="169">
        <v>6.9</v>
      </c>
      <c r="P340" s="169">
        <v>2.6</v>
      </c>
    </row>
    <row r="341" spans="1:16" x14ac:dyDescent="0.25">
      <c r="A341" s="170">
        <v>340</v>
      </c>
      <c r="B341" s="170">
        <v>1</v>
      </c>
      <c r="C341" s="170">
        <v>0</v>
      </c>
      <c r="D341" s="170">
        <v>0</v>
      </c>
      <c r="E341" s="170">
        <v>9</v>
      </c>
      <c r="F341" s="170">
        <v>140</v>
      </c>
      <c r="G341" s="169">
        <v>884</v>
      </c>
      <c r="H341" s="169">
        <v>0.3</v>
      </c>
      <c r="I341" s="169">
        <v>6.85</v>
      </c>
      <c r="J341" s="170">
        <v>2.5</v>
      </c>
      <c r="K341" s="170">
        <v>2</v>
      </c>
      <c r="L341" s="169">
        <v>1.6000000000000014</v>
      </c>
      <c r="M341" s="169">
        <v>22.6</v>
      </c>
      <c r="N341" s="170">
        <v>17</v>
      </c>
      <c r="O341" s="169">
        <v>6.7</v>
      </c>
      <c r="P341" s="169">
        <v>2.7</v>
      </c>
    </row>
    <row r="342" spans="1:16" x14ac:dyDescent="0.25">
      <c r="A342" s="170">
        <v>341</v>
      </c>
      <c r="B342" s="170">
        <v>0</v>
      </c>
      <c r="C342" s="170">
        <v>1</v>
      </c>
      <c r="D342" s="170">
        <v>0</v>
      </c>
      <c r="E342" s="170">
        <v>9</v>
      </c>
      <c r="F342" s="170">
        <v>140</v>
      </c>
      <c r="G342" s="169">
        <v>909</v>
      </c>
      <c r="H342" s="169">
        <v>0.3</v>
      </c>
      <c r="I342" s="169">
        <v>5.9</v>
      </c>
      <c r="J342" s="170">
        <v>2.5</v>
      </c>
      <c r="K342" s="170">
        <v>2</v>
      </c>
      <c r="L342" s="169">
        <v>1.6000000000000014</v>
      </c>
      <c r="M342" s="169">
        <v>21.9</v>
      </c>
      <c r="N342" s="170">
        <v>17</v>
      </c>
      <c r="O342" s="169">
        <v>5.8</v>
      </c>
      <c r="P342" s="169">
        <v>2.5</v>
      </c>
    </row>
    <row r="343" spans="1:16" x14ac:dyDescent="0.25">
      <c r="A343" s="170">
        <v>342</v>
      </c>
      <c r="B343" s="170">
        <v>0</v>
      </c>
      <c r="C343" s="170">
        <v>0</v>
      </c>
      <c r="D343" s="170">
        <v>1</v>
      </c>
      <c r="E343" s="170">
        <v>9</v>
      </c>
      <c r="F343" s="170">
        <v>140</v>
      </c>
      <c r="G343" s="169">
        <v>926</v>
      </c>
      <c r="H343" s="169">
        <v>0.3</v>
      </c>
      <c r="I343" s="169">
        <v>7.8</v>
      </c>
      <c r="J343" s="170">
        <v>2.5</v>
      </c>
      <c r="K343" s="170">
        <v>2</v>
      </c>
      <c r="L343" s="169">
        <v>1.6000000000000014</v>
      </c>
      <c r="M343" s="169">
        <v>20.2</v>
      </c>
      <c r="N343" s="170">
        <v>17</v>
      </c>
      <c r="O343" s="169">
        <v>6.3</v>
      </c>
      <c r="P343" s="169">
        <v>2.7</v>
      </c>
    </row>
    <row r="344" spans="1:16" x14ac:dyDescent="0.25">
      <c r="A344" s="170">
        <v>343</v>
      </c>
      <c r="B344" s="170">
        <v>1</v>
      </c>
      <c r="C344" s="170">
        <v>0</v>
      </c>
      <c r="D344" s="170">
        <v>0</v>
      </c>
      <c r="E344" s="170">
        <v>6</v>
      </c>
      <c r="F344" s="170">
        <v>140</v>
      </c>
      <c r="G344" s="169">
        <v>1004</v>
      </c>
      <c r="H344" s="169">
        <v>0.6</v>
      </c>
      <c r="I344" s="169">
        <v>6.85</v>
      </c>
      <c r="J344" s="170">
        <v>2.5</v>
      </c>
      <c r="K344" s="170">
        <v>2</v>
      </c>
      <c r="L344" s="169">
        <v>1.5750000000000015</v>
      </c>
      <c r="M344" s="169">
        <v>20.399999999999999</v>
      </c>
      <c r="N344" s="170">
        <v>18</v>
      </c>
      <c r="O344" s="169">
        <v>6</v>
      </c>
      <c r="P344" s="169">
        <v>2.6</v>
      </c>
    </row>
    <row r="345" spans="1:16" x14ac:dyDescent="0.25">
      <c r="A345" s="170">
        <v>344</v>
      </c>
      <c r="B345" s="170">
        <v>0</v>
      </c>
      <c r="C345" s="170">
        <v>1</v>
      </c>
      <c r="D345" s="170">
        <v>0</v>
      </c>
      <c r="E345" s="170">
        <v>6</v>
      </c>
      <c r="F345" s="170">
        <v>140</v>
      </c>
      <c r="G345" s="169">
        <v>917</v>
      </c>
      <c r="H345" s="169">
        <v>0.3</v>
      </c>
      <c r="I345" s="169">
        <v>5.9</v>
      </c>
      <c r="J345" s="170">
        <v>2.5</v>
      </c>
      <c r="K345" s="170">
        <v>2</v>
      </c>
      <c r="L345" s="169">
        <v>1.5750000000000015</v>
      </c>
      <c r="M345" s="169">
        <v>20.100000000000001</v>
      </c>
      <c r="N345" s="170">
        <v>18</v>
      </c>
      <c r="O345" s="169">
        <v>6.6</v>
      </c>
      <c r="P345" s="169">
        <v>2.6</v>
      </c>
    </row>
    <row r="346" spans="1:16" x14ac:dyDescent="0.25">
      <c r="A346" s="170">
        <v>345</v>
      </c>
      <c r="B346" s="170">
        <v>0</v>
      </c>
      <c r="C346" s="170">
        <v>0</v>
      </c>
      <c r="D346" s="170">
        <v>1</v>
      </c>
      <c r="E346" s="170">
        <v>6</v>
      </c>
      <c r="F346" s="170">
        <v>140</v>
      </c>
      <c r="G346" s="169">
        <v>934</v>
      </c>
      <c r="H346" s="169">
        <v>0.3</v>
      </c>
      <c r="I346" s="169">
        <v>7.8</v>
      </c>
      <c r="J346" s="170">
        <v>2.5</v>
      </c>
      <c r="K346" s="170">
        <v>2</v>
      </c>
      <c r="L346" s="169">
        <v>1.5750000000000015</v>
      </c>
      <c r="M346" s="169">
        <v>21</v>
      </c>
      <c r="N346" s="170">
        <v>18</v>
      </c>
      <c r="O346" s="169">
        <v>6.8</v>
      </c>
      <c r="P346" s="169">
        <v>2.6</v>
      </c>
    </row>
    <row r="347" spans="1:16" x14ac:dyDescent="0.25">
      <c r="A347" s="170">
        <v>346</v>
      </c>
      <c r="B347" s="170">
        <v>1</v>
      </c>
      <c r="C347" s="170">
        <v>0</v>
      </c>
      <c r="D347" s="170">
        <v>0</v>
      </c>
      <c r="E347" s="170">
        <v>9</v>
      </c>
      <c r="F347" s="170">
        <v>140</v>
      </c>
      <c r="G347" s="169">
        <v>884</v>
      </c>
      <c r="H347" s="169">
        <v>0.3</v>
      </c>
      <c r="I347" s="169">
        <v>6.85</v>
      </c>
      <c r="J347" s="170">
        <v>2.5</v>
      </c>
      <c r="K347" s="170">
        <v>2</v>
      </c>
      <c r="L347" s="169">
        <v>1.5750000000000015</v>
      </c>
      <c r="M347" s="169">
        <v>23</v>
      </c>
      <c r="N347" s="170">
        <v>18</v>
      </c>
      <c r="O347" s="169">
        <v>6.6</v>
      </c>
      <c r="P347" s="169">
        <v>2.7</v>
      </c>
    </row>
    <row r="348" spans="1:16" x14ac:dyDescent="0.25">
      <c r="A348" s="170">
        <v>347</v>
      </c>
      <c r="B348" s="170">
        <v>0</v>
      </c>
      <c r="C348" s="170">
        <v>1</v>
      </c>
      <c r="D348" s="170">
        <v>0</v>
      </c>
      <c r="E348" s="170">
        <v>9</v>
      </c>
      <c r="F348" s="170">
        <v>140</v>
      </c>
      <c r="G348" s="169">
        <v>909</v>
      </c>
      <c r="H348" s="169">
        <v>0.3</v>
      </c>
      <c r="I348" s="169">
        <v>5.9</v>
      </c>
      <c r="J348" s="170">
        <v>2.5</v>
      </c>
      <c r="K348" s="170">
        <v>2</v>
      </c>
      <c r="L348" s="169">
        <v>1.5750000000000015</v>
      </c>
      <c r="M348" s="169">
        <v>22</v>
      </c>
      <c r="N348" s="170">
        <v>18</v>
      </c>
      <c r="O348" s="169">
        <v>5.9</v>
      </c>
      <c r="P348" s="169">
        <v>2.5</v>
      </c>
    </row>
    <row r="349" spans="1:16" x14ac:dyDescent="0.25">
      <c r="A349" s="170">
        <v>348</v>
      </c>
      <c r="B349" s="170">
        <v>0</v>
      </c>
      <c r="C349" s="170">
        <v>0</v>
      </c>
      <c r="D349" s="170">
        <v>1</v>
      </c>
      <c r="E349" s="170">
        <v>9</v>
      </c>
      <c r="F349" s="170">
        <v>140</v>
      </c>
      <c r="G349" s="169">
        <v>926</v>
      </c>
      <c r="H349" s="169">
        <v>0.3</v>
      </c>
      <c r="I349" s="169">
        <v>7.8</v>
      </c>
      <c r="J349" s="170">
        <v>2.5</v>
      </c>
      <c r="K349" s="170">
        <v>2</v>
      </c>
      <c r="L349" s="169">
        <v>1.5750000000000015</v>
      </c>
      <c r="M349" s="169">
        <v>21.8</v>
      </c>
      <c r="N349" s="170">
        <v>18</v>
      </c>
      <c r="O349" s="169">
        <v>6.25</v>
      </c>
      <c r="P349" s="169">
        <v>2.7</v>
      </c>
    </row>
    <row r="350" spans="1:16" x14ac:dyDescent="0.25">
      <c r="A350" s="170">
        <v>349</v>
      </c>
      <c r="B350" s="170">
        <v>1</v>
      </c>
      <c r="C350" s="170">
        <v>0</v>
      </c>
      <c r="D350" s="170">
        <v>0</v>
      </c>
      <c r="E350" s="170">
        <v>6</v>
      </c>
      <c r="F350" s="170">
        <v>140</v>
      </c>
      <c r="G350" s="169">
        <v>1004</v>
      </c>
      <c r="H350" s="169">
        <v>0.6</v>
      </c>
      <c r="I350" s="169">
        <v>6.85</v>
      </c>
      <c r="J350" s="170">
        <v>2.5</v>
      </c>
      <c r="K350" s="170">
        <v>2</v>
      </c>
      <c r="L350" s="169">
        <v>1.5500000000000016</v>
      </c>
      <c r="M350" s="169">
        <v>20.9</v>
      </c>
      <c r="N350" s="170">
        <v>19</v>
      </c>
      <c r="O350" s="169">
        <v>5.9</v>
      </c>
      <c r="P350" s="169">
        <v>2.6</v>
      </c>
    </row>
    <row r="351" spans="1:16" x14ac:dyDescent="0.25">
      <c r="A351" s="170">
        <v>350</v>
      </c>
      <c r="B351" s="170">
        <v>0</v>
      </c>
      <c r="C351" s="170">
        <v>1</v>
      </c>
      <c r="D351" s="170">
        <v>0</v>
      </c>
      <c r="E351" s="170">
        <v>6</v>
      </c>
      <c r="F351" s="170">
        <v>140</v>
      </c>
      <c r="G351" s="169">
        <v>917</v>
      </c>
      <c r="H351" s="169">
        <v>0.3</v>
      </c>
      <c r="I351" s="169">
        <v>5.9</v>
      </c>
      <c r="J351" s="170">
        <v>2.5</v>
      </c>
      <c r="K351" s="170">
        <v>2</v>
      </c>
      <c r="L351" s="169">
        <v>1.5500000000000016</v>
      </c>
      <c r="M351" s="169">
        <v>19.2</v>
      </c>
      <c r="N351" s="170">
        <v>19</v>
      </c>
      <c r="O351" s="169">
        <v>6.4</v>
      </c>
      <c r="P351" s="169">
        <v>2.6</v>
      </c>
    </row>
    <row r="352" spans="1:16" x14ac:dyDescent="0.25">
      <c r="A352" s="170">
        <v>351</v>
      </c>
      <c r="B352" s="170">
        <v>0</v>
      </c>
      <c r="C352" s="170">
        <v>0</v>
      </c>
      <c r="D352" s="170">
        <v>1</v>
      </c>
      <c r="E352" s="170">
        <v>6</v>
      </c>
      <c r="F352" s="170">
        <v>140</v>
      </c>
      <c r="G352" s="169">
        <v>934</v>
      </c>
      <c r="H352" s="169">
        <v>0.3</v>
      </c>
      <c r="I352" s="169">
        <v>7.8</v>
      </c>
      <c r="J352" s="170">
        <v>2.5</v>
      </c>
      <c r="K352" s="170">
        <v>2</v>
      </c>
      <c r="L352" s="169">
        <v>1.5500000000000016</v>
      </c>
      <c r="M352" s="169">
        <v>19.899999999999999</v>
      </c>
      <c r="N352" s="170">
        <v>19</v>
      </c>
      <c r="O352" s="169">
        <v>6.7</v>
      </c>
      <c r="P352" s="169">
        <v>2.5</v>
      </c>
    </row>
    <row r="353" spans="1:16" x14ac:dyDescent="0.25">
      <c r="A353" s="170">
        <v>352</v>
      </c>
      <c r="B353" s="170">
        <v>1</v>
      </c>
      <c r="C353" s="170">
        <v>0</v>
      </c>
      <c r="D353" s="170">
        <v>0</v>
      </c>
      <c r="E353" s="170">
        <v>9</v>
      </c>
      <c r="F353" s="170">
        <v>140</v>
      </c>
      <c r="G353" s="169">
        <v>884</v>
      </c>
      <c r="H353" s="169">
        <v>0.3</v>
      </c>
      <c r="I353" s="169">
        <v>6.85</v>
      </c>
      <c r="J353" s="170">
        <v>2.5</v>
      </c>
      <c r="K353" s="170">
        <v>2</v>
      </c>
      <c r="L353" s="169">
        <v>1.5500000000000016</v>
      </c>
      <c r="M353" s="169">
        <v>22.5</v>
      </c>
      <c r="N353" s="170">
        <v>19</v>
      </c>
      <c r="O353" s="169">
        <v>6.5</v>
      </c>
      <c r="P353" s="169">
        <v>2.6</v>
      </c>
    </row>
    <row r="354" spans="1:16" x14ac:dyDescent="0.25">
      <c r="A354" s="170">
        <v>353</v>
      </c>
      <c r="B354" s="170">
        <v>0</v>
      </c>
      <c r="C354" s="170">
        <v>1</v>
      </c>
      <c r="D354" s="170">
        <v>0</v>
      </c>
      <c r="E354" s="170">
        <v>9</v>
      </c>
      <c r="F354" s="170">
        <v>140</v>
      </c>
      <c r="G354" s="169">
        <v>909</v>
      </c>
      <c r="H354" s="169">
        <v>0.3</v>
      </c>
      <c r="I354" s="169">
        <v>5.9</v>
      </c>
      <c r="J354" s="170">
        <v>2.5</v>
      </c>
      <c r="K354" s="170">
        <v>2</v>
      </c>
      <c r="L354" s="169">
        <v>1.5500000000000016</v>
      </c>
      <c r="M354" s="169">
        <v>21.3</v>
      </c>
      <c r="N354" s="170">
        <v>19</v>
      </c>
      <c r="O354" s="169">
        <v>5.7</v>
      </c>
      <c r="P354" s="169">
        <v>2.5</v>
      </c>
    </row>
    <row r="355" spans="1:16" x14ac:dyDescent="0.25">
      <c r="A355" s="170">
        <v>354</v>
      </c>
      <c r="B355" s="170">
        <v>0</v>
      </c>
      <c r="C355" s="170">
        <v>0</v>
      </c>
      <c r="D355" s="170">
        <v>1</v>
      </c>
      <c r="E355" s="170">
        <v>9</v>
      </c>
      <c r="F355" s="170">
        <v>140</v>
      </c>
      <c r="G355" s="169">
        <v>926</v>
      </c>
      <c r="H355" s="169">
        <v>0.3</v>
      </c>
      <c r="I355" s="169">
        <v>7.8</v>
      </c>
      <c r="J355" s="170">
        <v>2.5</v>
      </c>
      <c r="K355" s="170">
        <v>2</v>
      </c>
      <c r="L355" s="169">
        <v>1.5500000000000016</v>
      </c>
      <c r="M355" s="169">
        <v>20.5</v>
      </c>
      <c r="N355" s="170">
        <v>19</v>
      </c>
      <c r="O355" s="169">
        <v>6.25</v>
      </c>
      <c r="P355" s="169">
        <v>2.7</v>
      </c>
    </row>
    <row r="356" spans="1:16" x14ac:dyDescent="0.25">
      <c r="A356" s="170">
        <v>355</v>
      </c>
      <c r="B356" s="170">
        <v>1</v>
      </c>
      <c r="C356" s="170">
        <v>0</v>
      </c>
      <c r="D356" s="170">
        <v>0</v>
      </c>
      <c r="E356" s="170">
        <v>6</v>
      </c>
      <c r="F356" s="170">
        <v>140</v>
      </c>
      <c r="G356" s="169">
        <v>1004</v>
      </c>
      <c r="H356" s="169">
        <v>0.6</v>
      </c>
      <c r="I356" s="169">
        <v>6.85</v>
      </c>
      <c r="J356" s="170">
        <v>2.5</v>
      </c>
      <c r="K356" s="170">
        <v>2</v>
      </c>
      <c r="L356" s="169">
        <v>1.5250000000000017</v>
      </c>
      <c r="M356" s="169">
        <v>20.9</v>
      </c>
      <c r="N356" s="170">
        <v>20</v>
      </c>
      <c r="O356" s="169">
        <v>5.85</v>
      </c>
      <c r="P356" s="169">
        <v>2.6</v>
      </c>
    </row>
    <row r="357" spans="1:16" x14ac:dyDescent="0.25">
      <c r="A357" s="170">
        <v>356</v>
      </c>
      <c r="B357" s="170">
        <v>0</v>
      </c>
      <c r="C357" s="170">
        <v>1</v>
      </c>
      <c r="D357" s="170">
        <v>0</v>
      </c>
      <c r="E357" s="170">
        <v>6</v>
      </c>
      <c r="F357" s="170">
        <v>140</v>
      </c>
      <c r="G357" s="169">
        <v>917</v>
      </c>
      <c r="H357" s="169">
        <v>0.3</v>
      </c>
      <c r="I357" s="169">
        <v>5.9</v>
      </c>
      <c r="J357" s="170">
        <v>2.5</v>
      </c>
      <c r="K357" s="170">
        <v>2</v>
      </c>
      <c r="L357" s="169">
        <v>1.5250000000000017</v>
      </c>
      <c r="M357" s="169">
        <v>19.2</v>
      </c>
      <c r="N357" s="170">
        <v>20</v>
      </c>
      <c r="O357" s="169">
        <v>6.35</v>
      </c>
      <c r="P357" s="169">
        <v>2.6</v>
      </c>
    </row>
    <row r="358" spans="1:16" x14ac:dyDescent="0.25">
      <c r="A358" s="170">
        <v>357</v>
      </c>
      <c r="B358" s="170">
        <v>0</v>
      </c>
      <c r="C358" s="170">
        <v>0</v>
      </c>
      <c r="D358" s="170">
        <v>1</v>
      </c>
      <c r="E358" s="170">
        <v>6</v>
      </c>
      <c r="F358" s="170">
        <v>140</v>
      </c>
      <c r="G358" s="169">
        <v>934</v>
      </c>
      <c r="H358" s="169">
        <v>0.3</v>
      </c>
      <c r="I358" s="169">
        <v>7.8</v>
      </c>
      <c r="J358" s="170">
        <v>2.5</v>
      </c>
      <c r="K358" s="170">
        <v>2</v>
      </c>
      <c r="L358" s="169">
        <v>1.5250000000000017</v>
      </c>
      <c r="M358" s="169">
        <v>19.899999999999999</v>
      </c>
      <c r="N358" s="170">
        <v>20</v>
      </c>
      <c r="O358" s="169">
        <v>6.65</v>
      </c>
      <c r="P358" s="169">
        <v>2.5</v>
      </c>
    </row>
    <row r="359" spans="1:16" x14ac:dyDescent="0.25">
      <c r="A359" s="170">
        <v>358</v>
      </c>
      <c r="B359" s="170">
        <v>1</v>
      </c>
      <c r="C359" s="170">
        <v>0</v>
      </c>
      <c r="D359" s="170">
        <v>0</v>
      </c>
      <c r="E359" s="170">
        <v>9</v>
      </c>
      <c r="F359" s="170">
        <v>140</v>
      </c>
      <c r="G359" s="169">
        <v>884</v>
      </c>
      <c r="H359" s="169">
        <v>0.3</v>
      </c>
      <c r="I359" s="169">
        <v>6.85</v>
      </c>
      <c r="J359" s="170">
        <v>2.5</v>
      </c>
      <c r="K359" s="170">
        <v>2</v>
      </c>
      <c r="L359" s="169">
        <v>1.5250000000000017</v>
      </c>
      <c r="M359" s="169">
        <v>22.5</v>
      </c>
      <c r="N359" s="170">
        <v>20</v>
      </c>
      <c r="O359" s="169">
        <v>6.4</v>
      </c>
      <c r="P359" s="169">
        <v>2.6</v>
      </c>
    </row>
    <row r="360" spans="1:16" x14ac:dyDescent="0.25">
      <c r="A360" s="170">
        <v>359</v>
      </c>
      <c r="B360" s="170">
        <v>0</v>
      </c>
      <c r="C360" s="170">
        <v>1</v>
      </c>
      <c r="D360" s="170">
        <v>0</v>
      </c>
      <c r="E360" s="170">
        <v>9</v>
      </c>
      <c r="F360" s="170">
        <v>140</v>
      </c>
      <c r="G360" s="169">
        <v>909</v>
      </c>
      <c r="H360" s="169">
        <v>0.3</v>
      </c>
      <c r="I360" s="169">
        <v>5.9</v>
      </c>
      <c r="J360" s="170">
        <v>2.5</v>
      </c>
      <c r="K360" s="170">
        <v>2</v>
      </c>
      <c r="L360" s="169">
        <v>1.5250000000000017</v>
      </c>
      <c r="M360" s="169">
        <v>21.3</v>
      </c>
      <c r="N360" s="170">
        <v>20</v>
      </c>
      <c r="O360" s="169">
        <v>5.65</v>
      </c>
      <c r="P360" s="169">
        <v>2.5</v>
      </c>
    </row>
    <row r="361" spans="1:16" x14ac:dyDescent="0.25">
      <c r="A361" s="170">
        <v>360</v>
      </c>
      <c r="B361" s="170">
        <v>0</v>
      </c>
      <c r="C361" s="170">
        <v>0</v>
      </c>
      <c r="D361" s="170">
        <v>1</v>
      </c>
      <c r="E361" s="170">
        <v>9</v>
      </c>
      <c r="F361" s="170">
        <v>140</v>
      </c>
      <c r="G361" s="169">
        <v>926</v>
      </c>
      <c r="H361" s="169">
        <v>0.3</v>
      </c>
      <c r="I361" s="169">
        <v>7.8</v>
      </c>
      <c r="J361" s="170">
        <v>2.5</v>
      </c>
      <c r="K361" s="170">
        <v>2</v>
      </c>
      <c r="L361" s="169">
        <v>1.5250000000000017</v>
      </c>
      <c r="M361" s="169">
        <v>20.5</v>
      </c>
      <c r="N361" s="170">
        <v>20</v>
      </c>
      <c r="O361" s="169">
        <v>6.15</v>
      </c>
      <c r="P361" s="169">
        <v>2.7</v>
      </c>
    </row>
    <row r="362" spans="1:16" x14ac:dyDescent="0.25">
      <c r="F362" s="27"/>
      <c r="H362" s="27"/>
      <c r="P362" s="91"/>
    </row>
    <row r="363" spans="1:16" x14ac:dyDescent="0.25">
      <c r="F363" s="27"/>
      <c r="H363" s="27"/>
      <c r="P363" s="91"/>
    </row>
    <row r="364" spans="1:16" x14ac:dyDescent="0.25">
      <c r="F364" s="27"/>
      <c r="H364" s="27"/>
      <c r="P364" s="91"/>
    </row>
    <row r="365" spans="1:16" x14ac:dyDescent="0.25">
      <c r="F365" s="27"/>
      <c r="H365" s="27"/>
      <c r="P365" s="91"/>
    </row>
    <row r="366" spans="1:16" x14ac:dyDescent="0.25">
      <c r="F366" s="27"/>
      <c r="H366" s="27"/>
      <c r="P366" s="91"/>
    </row>
    <row r="367" spans="1:16" x14ac:dyDescent="0.25">
      <c r="F367" s="27"/>
      <c r="H367" s="27"/>
      <c r="P367" s="91"/>
    </row>
    <row r="368" spans="1:16" x14ac:dyDescent="0.25">
      <c r="F368" s="27"/>
      <c r="H368" s="27"/>
      <c r="P368" s="91"/>
    </row>
    <row r="369" spans="6:16" x14ac:dyDescent="0.25">
      <c r="F369" s="27"/>
      <c r="H369" s="27"/>
      <c r="P369" s="91"/>
    </row>
    <row r="370" spans="6:16" x14ac:dyDescent="0.25">
      <c r="F370" s="27"/>
      <c r="H370" s="27"/>
      <c r="P370" s="91"/>
    </row>
    <row r="371" spans="6:16" x14ac:dyDescent="0.25">
      <c r="F371" s="27"/>
      <c r="H371" s="27"/>
      <c r="P371" s="91"/>
    </row>
    <row r="372" spans="6:16" x14ac:dyDescent="0.25">
      <c r="F372" s="27"/>
      <c r="H372" s="27"/>
      <c r="P372" s="91"/>
    </row>
    <row r="373" spans="6:16" x14ac:dyDescent="0.25">
      <c r="F373" s="27"/>
      <c r="H373" s="27"/>
      <c r="P373" s="91"/>
    </row>
    <row r="374" spans="6:16" x14ac:dyDescent="0.25">
      <c r="F374" s="27"/>
      <c r="H374" s="27"/>
      <c r="P374" s="91"/>
    </row>
    <row r="375" spans="6:16" x14ac:dyDescent="0.25">
      <c r="F375" s="27"/>
      <c r="H375" s="27"/>
      <c r="P375" s="91"/>
    </row>
    <row r="376" spans="6:16" x14ac:dyDescent="0.25">
      <c r="F376" s="27"/>
      <c r="H376" s="27"/>
      <c r="P376" s="91"/>
    </row>
    <row r="377" spans="6:16" x14ac:dyDescent="0.25">
      <c r="F377" s="27"/>
      <c r="H377" s="27"/>
      <c r="P377" s="91"/>
    </row>
    <row r="378" spans="6:16" x14ac:dyDescent="0.25">
      <c r="F378" s="27"/>
      <c r="H378" s="27"/>
      <c r="P378" s="91"/>
    </row>
    <row r="379" spans="6:16" x14ac:dyDescent="0.25">
      <c r="F379" s="27"/>
      <c r="H379" s="27"/>
      <c r="P379" s="91"/>
    </row>
    <row r="380" spans="6:16" x14ac:dyDescent="0.25">
      <c r="F380" s="27"/>
      <c r="H380" s="27"/>
      <c r="P380" s="91"/>
    </row>
    <row r="381" spans="6:16" x14ac:dyDescent="0.25">
      <c r="F381" s="27"/>
      <c r="H381" s="27"/>
      <c r="P381" s="91"/>
    </row>
    <row r="382" spans="6:16" x14ac:dyDescent="0.25">
      <c r="F382" s="27"/>
      <c r="H382" s="27"/>
      <c r="P382" s="91"/>
    </row>
    <row r="383" spans="6:16" x14ac:dyDescent="0.25">
      <c r="F383" s="27"/>
      <c r="H383" s="27"/>
      <c r="P383" s="91"/>
    </row>
    <row r="384" spans="6:16" x14ac:dyDescent="0.25">
      <c r="F384" s="27"/>
      <c r="H384" s="27"/>
      <c r="P384" s="91"/>
    </row>
    <row r="385" spans="6:16" x14ac:dyDescent="0.25">
      <c r="F385" s="27"/>
      <c r="H385" s="27"/>
      <c r="P385" s="9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2:T487"/>
  <sheetViews>
    <sheetView topLeftCell="A280" zoomScaleNormal="100" workbookViewId="0">
      <selection activeCell="G289" sqref="G289:G294"/>
    </sheetView>
  </sheetViews>
  <sheetFormatPr baseColWidth="10" defaultColWidth="11.42578125" defaultRowHeight="15" x14ac:dyDescent="0.25"/>
  <cols>
    <col min="2" max="2" width="7.42578125" style="1" customWidth="1"/>
    <col min="5" max="5" width="15.7109375" customWidth="1"/>
    <col min="15" max="15" width="12.5703125" bestFit="1" customWidth="1"/>
    <col min="16" max="16" width="13.5703125" bestFit="1" customWidth="1"/>
    <col min="17" max="17" width="14.5703125" bestFit="1" customWidth="1"/>
    <col min="18" max="18" width="12.5703125" bestFit="1" customWidth="1"/>
  </cols>
  <sheetData>
    <row r="2" spans="4:20" ht="15.75" thickBot="1" x14ac:dyDescent="0.3"/>
    <row r="3" spans="4:20" x14ac:dyDescent="0.25">
      <c r="D3" s="127" t="s">
        <v>39</v>
      </c>
      <c r="E3" s="128"/>
    </row>
    <row r="4" spans="4:20" ht="15.75" thickBot="1" x14ac:dyDescent="0.3">
      <c r="D4" s="28" t="s">
        <v>40</v>
      </c>
      <c r="E4" s="29">
        <v>43647</v>
      </c>
      <c r="S4" s="30"/>
    </row>
    <row r="5" spans="4:20" x14ac:dyDescent="0.25">
      <c r="F5" s="135" t="s">
        <v>41</v>
      </c>
      <c r="G5" s="135"/>
      <c r="H5" s="135"/>
      <c r="I5" s="135"/>
      <c r="J5" s="135"/>
      <c r="K5" s="135"/>
      <c r="L5" s="135"/>
      <c r="M5" s="136"/>
      <c r="N5" s="123">
        <v>3.8</v>
      </c>
      <c r="O5" s="124"/>
      <c r="P5" s="124"/>
      <c r="Q5" s="124"/>
      <c r="R5" s="124"/>
      <c r="S5" s="124"/>
      <c r="T5" s="124"/>
    </row>
    <row r="6" spans="4:20" ht="15.75" thickBot="1" x14ac:dyDescent="0.3">
      <c r="E6" s="19"/>
      <c r="F6" s="31" t="s">
        <v>14</v>
      </c>
      <c r="G6" s="27" t="s">
        <v>15</v>
      </c>
      <c r="H6" s="27" t="s">
        <v>16</v>
      </c>
      <c r="I6" s="27" t="s">
        <v>17</v>
      </c>
      <c r="J6" s="27" t="s">
        <v>18</v>
      </c>
      <c r="K6" s="27" t="s">
        <v>19</v>
      </c>
      <c r="L6" s="27" t="s">
        <v>19</v>
      </c>
      <c r="M6" s="27" t="s">
        <v>20</v>
      </c>
      <c r="N6" s="31" t="s">
        <v>14</v>
      </c>
      <c r="O6" s="27" t="s">
        <v>15</v>
      </c>
      <c r="P6" s="27" t="s">
        <v>16</v>
      </c>
      <c r="Q6" s="27" t="s">
        <v>17</v>
      </c>
      <c r="R6" s="27" t="s">
        <v>18</v>
      </c>
      <c r="S6" s="27" t="s">
        <v>19</v>
      </c>
      <c r="T6" s="27" t="s">
        <v>19</v>
      </c>
    </row>
    <row r="7" spans="4:20" ht="15.75" thickBot="1" x14ac:dyDescent="0.3">
      <c r="D7" s="22" t="s">
        <v>21</v>
      </c>
      <c r="E7" s="22" t="s">
        <v>22</v>
      </c>
      <c r="F7" s="23" t="s">
        <v>23</v>
      </c>
      <c r="G7" s="23" t="s">
        <v>24</v>
      </c>
      <c r="H7" s="23" t="s">
        <v>24</v>
      </c>
      <c r="I7" s="23" t="s">
        <v>24</v>
      </c>
      <c r="J7" s="23" t="s">
        <v>25</v>
      </c>
      <c r="K7" s="23" t="s">
        <v>9</v>
      </c>
      <c r="L7" s="23" t="s">
        <v>10</v>
      </c>
      <c r="M7" s="32" t="s">
        <v>25</v>
      </c>
      <c r="N7" s="33" t="s">
        <v>23</v>
      </c>
      <c r="O7" s="23" t="s">
        <v>24</v>
      </c>
      <c r="P7" s="23" t="s">
        <v>24</v>
      </c>
      <c r="Q7" s="23" t="s">
        <v>24</v>
      </c>
      <c r="R7" s="23" t="s">
        <v>25</v>
      </c>
      <c r="S7" s="23" t="s">
        <v>9</v>
      </c>
      <c r="T7" s="23" t="s">
        <v>10</v>
      </c>
    </row>
    <row r="8" spans="4:20" x14ac:dyDescent="0.25">
      <c r="D8" s="129">
        <v>1</v>
      </c>
      <c r="E8" s="24" t="s">
        <v>3</v>
      </c>
      <c r="F8" s="23" t="s">
        <v>26</v>
      </c>
      <c r="G8" s="23">
        <v>10</v>
      </c>
      <c r="H8" s="16">
        <v>90</v>
      </c>
      <c r="I8" s="23">
        <v>797</v>
      </c>
      <c r="J8" s="23">
        <v>0.3</v>
      </c>
      <c r="K8" s="23">
        <v>4</v>
      </c>
      <c r="L8" s="23">
        <v>2.8</v>
      </c>
      <c r="M8" s="32">
        <v>3</v>
      </c>
      <c r="N8" s="33" t="s">
        <v>26</v>
      </c>
      <c r="O8" s="34">
        <f>G8/$M8</f>
        <v>3.3333333333333335</v>
      </c>
      <c r="P8" s="34">
        <f t="shared" ref="P8:R13" si="0">H8/$M8</f>
        <v>30</v>
      </c>
      <c r="Q8" s="34">
        <f t="shared" si="0"/>
        <v>265.66666666666669</v>
      </c>
      <c r="R8" s="34">
        <f t="shared" si="0"/>
        <v>9.9999999999999992E-2</v>
      </c>
      <c r="S8" s="23">
        <v>4</v>
      </c>
      <c r="T8" s="23">
        <v>2.8</v>
      </c>
    </row>
    <row r="9" spans="4:20" x14ac:dyDescent="0.25">
      <c r="D9" s="130"/>
      <c r="E9" s="11" t="s">
        <v>4</v>
      </c>
      <c r="F9" s="23" t="s">
        <v>27</v>
      </c>
      <c r="G9" s="23">
        <v>10</v>
      </c>
      <c r="H9" s="16">
        <v>90</v>
      </c>
      <c r="I9" s="23">
        <v>930</v>
      </c>
      <c r="J9" s="23">
        <v>0.3</v>
      </c>
      <c r="K9" s="23">
        <v>3.8</v>
      </c>
      <c r="L9" s="23">
        <v>2.7</v>
      </c>
      <c r="M9" s="32">
        <v>3</v>
      </c>
      <c r="N9" s="33" t="s">
        <v>27</v>
      </c>
      <c r="O9" s="34">
        <f t="shared" ref="O9:O13" si="1">G9/$M9</f>
        <v>3.3333333333333335</v>
      </c>
      <c r="P9" s="34">
        <f t="shared" si="0"/>
        <v>30</v>
      </c>
      <c r="Q9" s="34">
        <f t="shared" si="0"/>
        <v>310</v>
      </c>
      <c r="R9" s="34">
        <f t="shared" si="0"/>
        <v>9.9999999999999992E-2</v>
      </c>
      <c r="S9" s="23">
        <v>3.8</v>
      </c>
      <c r="T9" s="23">
        <v>2.7</v>
      </c>
    </row>
    <row r="10" spans="4:20" x14ac:dyDescent="0.25">
      <c r="D10" s="130"/>
      <c r="E10" s="11" t="s">
        <v>5</v>
      </c>
      <c r="F10" s="23" t="s">
        <v>28</v>
      </c>
      <c r="G10" s="23">
        <v>10</v>
      </c>
      <c r="H10" s="16">
        <v>90</v>
      </c>
      <c r="I10" s="23">
        <v>839</v>
      </c>
      <c r="J10" s="23">
        <v>0.3</v>
      </c>
      <c r="K10" s="23">
        <v>4</v>
      </c>
      <c r="L10" s="23">
        <v>2.5</v>
      </c>
      <c r="M10" s="32">
        <v>3</v>
      </c>
      <c r="N10" s="33" t="s">
        <v>28</v>
      </c>
      <c r="O10" s="34">
        <f t="shared" si="1"/>
        <v>3.3333333333333335</v>
      </c>
      <c r="P10" s="34">
        <f t="shared" si="0"/>
        <v>30</v>
      </c>
      <c r="Q10" s="34">
        <f t="shared" si="0"/>
        <v>279.66666666666669</v>
      </c>
      <c r="R10" s="34">
        <f t="shared" si="0"/>
        <v>9.9999999999999992E-2</v>
      </c>
      <c r="S10" s="23">
        <v>4</v>
      </c>
      <c r="T10" s="23">
        <v>2.5</v>
      </c>
    </row>
    <row r="11" spans="4:20" x14ac:dyDescent="0.25">
      <c r="D11" s="130"/>
      <c r="E11" s="11" t="s">
        <v>6</v>
      </c>
      <c r="F11" s="23" t="s">
        <v>26</v>
      </c>
      <c r="G11" s="23">
        <v>10</v>
      </c>
      <c r="H11" s="16">
        <v>180</v>
      </c>
      <c r="I11" s="23">
        <v>772</v>
      </c>
      <c r="J11" s="23">
        <v>0.3</v>
      </c>
      <c r="K11" s="23">
        <v>4</v>
      </c>
      <c r="L11" s="23">
        <v>2.8</v>
      </c>
      <c r="M11" s="32">
        <v>3</v>
      </c>
      <c r="N11" s="33" t="s">
        <v>26</v>
      </c>
      <c r="O11" s="34">
        <f t="shared" si="1"/>
        <v>3.3333333333333335</v>
      </c>
      <c r="P11" s="34">
        <f t="shared" si="0"/>
        <v>60</v>
      </c>
      <c r="Q11" s="34">
        <f t="shared" si="0"/>
        <v>257.33333333333331</v>
      </c>
      <c r="R11" s="34">
        <f t="shared" si="0"/>
        <v>9.9999999999999992E-2</v>
      </c>
      <c r="S11" s="23">
        <v>4</v>
      </c>
      <c r="T11" s="23">
        <v>2.8</v>
      </c>
    </row>
    <row r="12" spans="4:20" x14ac:dyDescent="0.25">
      <c r="D12" s="130"/>
      <c r="E12" s="11" t="s">
        <v>7</v>
      </c>
      <c r="F12" s="23" t="s">
        <v>27</v>
      </c>
      <c r="G12" s="23">
        <v>10</v>
      </c>
      <c r="H12" s="16">
        <v>180</v>
      </c>
      <c r="I12" s="23">
        <v>737</v>
      </c>
      <c r="J12" s="23">
        <v>0.3</v>
      </c>
      <c r="K12" s="23">
        <v>3.8</v>
      </c>
      <c r="L12" s="23">
        <v>2.7</v>
      </c>
      <c r="M12" s="32">
        <v>3</v>
      </c>
      <c r="N12" s="33" t="s">
        <v>27</v>
      </c>
      <c r="O12" s="34">
        <f t="shared" si="1"/>
        <v>3.3333333333333335</v>
      </c>
      <c r="P12" s="34">
        <f t="shared" si="0"/>
        <v>60</v>
      </c>
      <c r="Q12" s="34">
        <f t="shared" si="0"/>
        <v>245.66666666666666</v>
      </c>
      <c r="R12" s="34">
        <f t="shared" si="0"/>
        <v>9.9999999999999992E-2</v>
      </c>
      <c r="S12" s="23">
        <v>3.8</v>
      </c>
      <c r="T12" s="23">
        <v>2.7</v>
      </c>
    </row>
    <row r="13" spans="4:20" ht="15.75" thickBot="1" x14ac:dyDescent="0.3">
      <c r="D13" s="130"/>
      <c r="E13" s="11" t="s">
        <v>8</v>
      </c>
      <c r="F13" s="23" t="s">
        <v>28</v>
      </c>
      <c r="G13" s="23">
        <v>10</v>
      </c>
      <c r="H13" s="16">
        <v>180</v>
      </c>
      <c r="I13" s="23">
        <v>756</v>
      </c>
      <c r="J13" s="23">
        <v>0.3</v>
      </c>
      <c r="K13" s="23">
        <v>4</v>
      </c>
      <c r="L13" s="23">
        <v>2.5</v>
      </c>
      <c r="M13" s="32">
        <v>3</v>
      </c>
      <c r="N13" s="35" t="s">
        <v>28</v>
      </c>
      <c r="O13" s="34">
        <f t="shared" si="1"/>
        <v>3.3333333333333335</v>
      </c>
      <c r="P13" s="34">
        <f t="shared" si="0"/>
        <v>60</v>
      </c>
      <c r="Q13" s="34">
        <f t="shared" si="0"/>
        <v>252</v>
      </c>
      <c r="R13" s="34">
        <f t="shared" si="0"/>
        <v>9.9999999999999992E-2</v>
      </c>
      <c r="S13" s="36">
        <v>4</v>
      </c>
      <c r="T13" s="36">
        <v>2.5</v>
      </c>
    </row>
    <row r="15" spans="4:20" ht="15.75" thickBot="1" x14ac:dyDescent="0.3">
      <c r="D15" t="s">
        <v>42</v>
      </c>
    </row>
    <row r="16" spans="4:20" ht="15.75" thickBot="1" x14ac:dyDescent="0.3">
      <c r="F16" s="132" t="s">
        <v>43</v>
      </c>
      <c r="G16" s="133"/>
      <c r="H16" s="133"/>
      <c r="I16" s="133"/>
      <c r="J16" s="133"/>
      <c r="K16" s="134"/>
    </row>
    <row r="17" spans="2:11" ht="15.75" thickBot="1" x14ac:dyDescent="0.3">
      <c r="D17" s="2" t="s">
        <v>1</v>
      </c>
      <c r="E17" s="3" t="s">
        <v>2</v>
      </c>
      <c r="F17" s="4" t="s">
        <v>3</v>
      </c>
      <c r="G17" s="5" t="s">
        <v>4</v>
      </c>
      <c r="H17" s="5" t="s">
        <v>5</v>
      </c>
      <c r="I17" s="5" t="s">
        <v>6</v>
      </c>
      <c r="J17" s="5" t="s">
        <v>7</v>
      </c>
      <c r="K17" s="6" t="s">
        <v>8</v>
      </c>
    </row>
    <row r="18" spans="2:11" x14ac:dyDescent="0.25">
      <c r="B18" s="137">
        <v>1</v>
      </c>
      <c r="C18" s="138">
        <v>0.70833333333333337</v>
      </c>
      <c r="D18" s="139">
        <f>E4+1</f>
        <v>43648</v>
      </c>
      <c r="E18" s="140" t="s">
        <v>9</v>
      </c>
      <c r="F18" s="141">
        <v>3.8</v>
      </c>
      <c r="G18" s="141">
        <v>3</v>
      </c>
      <c r="H18" s="141">
        <v>3</v>
      </c>
      <c r="I18" s="141">
        <v>5.5</v>
      </c>
      <c r="J18" s="141">
        <v>5.5</v>
      </c>
      <c r="K18" s="142">
        <v>5.5</v>
      </c>
    </row>
    <row r="19" spans="2:11" x14ac:dyDescent="0.25">
      <c r="B19" s="137"/>
      <c r="C19" s="138"/>
      <c r="D19" s="143"/>
      <c r="E19" s="144" t="s">
        <v>10</v>
      </c>
      <c r="F19" s="145">
        <v>3</v>
      </c>
      <c r="G19" s="145">
        <v>3.4</v>
      </c>
      <c r="H19" s="145">
        <v>3.0999999999999996</v>
      </c>
      <c r="I19" s="145">
        <v>3.3</v>
      </c>
      <c r="J19" s="145">
        <v>3.4</v>
      </c>
      <c r="K19" s="146">
        <v>3.3</v>
      </c>
    </row>
    <row r="20" spans="2:11" x14ac:dyDescent="0.25">
      <c r="B20" s="137"/>
      <c r="C20" s="138"/>
      <c r="D20" s="143"/>
      <c r="E20" s="144" t="s">
        <v>44</v>
      </c>
      <c r="F20" s="147">
        <v>15.4</v>
      </c>
      <c r="G20" s="147">
        <v>15.5</v>
      </c>
      <c r="H20" s="147">
        <v>15.5</v>
      </c>
      <c r="I20" s="147">
        <v>15.7</v>
      </c>
      <c r="J20" s="147">
        <v>15.4</v>
      </c>
      <c r="K20" s="148">
        <v>15.8</v>
      </c>
    </row>
    <row r="21" spans="2:11" ht="15.75" thickBot="1" x14ac:dyDescent="0.3">
      <c r="B21" s="137"/>
      <c r="C21" s="138"/>
      <c r="D21" s="149"/>
      <c r="E21" s="150" t="s">
        <v>13</v>
      </c>
      <c r="F21" s="151">
        <v>3.3</v>
      </c>
      <c r="G21" s="151">
        <v>3.3</v>
      </c>
      <c r="H21" s="151">
        <v>3.3</v>
      </c>
      <c r="I21" s="151">
        <v>3.3</v>
      </c>
      <c r="J21" s="151">
        <v>3.3</v>
      </c>
      <c r="K21" s="152">
        <v>3.3</v>
      </c>
    </row>
    <row r="22" spans="2:11" x14ac:dyDescent="0.25">
      <c r="B22" s="137">
        <v>2</v>
      </c>
      <c r="C22" s="138">
        <v>0.72916666666666663</v>
      </c>
      <c r="D22" s="139">
        <f>D18+1</f>
        <v>43649</v>
      </c>
      <c r="E22" s="140" t="s">
        <v>9</v>
      </c>
      <c r="F22" s="141">
        <v>3.4</v>
      </c>
      <c r="G22" s="141">
        <v>3.1</v>
      </c>
      <c r="H22" s="141">
        <v>3.1</v>
      </c>
      <c r="I22" s="141">
        <v>5.8</v>
      </c>
      <c r="J22" s="141">
        <v>5.7</v>
      </c>
      <c r="K22" s="142">
        <v>5.8</v>
      </c>
    </row>
    <row r="23" spans="2:11" x14ac:dyDescent="0.25">
      <c r="B23" s="137"/>
      <c r="C23" s="138"/>
      <c r="D23" s="143"/>
      <c r="E23" s="144" t="s">
        <v>10</v>
      </c>
      <c r="F23" s="145">
        <v>3.3</v>
      </c>
      <c r="G23" s="145">
        <v>3.5</v>
      </c>
      <c r="H23" s="145">
        <v>3.0999999999999996</v>
      </c>
      <c r="I23" s="145">
        <v>3.3</v>
      </c>
      <c r="J23" s="145">
        <v>3.3</v>
      </c>
      <c r="K23" s="146">
        <v>3.3</v>
      </c>
    </row>
    <row r="24" spans="2:11" x14ac:dyDescent="0.25">
      <c r="B24" s="137"/>
      <c r="C24" s="138"/>
      <c r="D24" s="143"/>
      <c r="E24" s="144" t="s">
        <v>44</v>
      </c>
      <c r="F24" s="145">
        <v>15.7</v>
      </c>
      <c r="G24" s="145">
        <v>15.6</v>
      </c>
      <c r="H24" s="145">
        <v>15.4</v>
      </c>
      <c r="I24" s="145">
        <v>15.3</v>
      </c>
      <c r="J24" s="145">
        <v>15.5</v>
      </c>
      <c r="K24" s="146">
        <v>15.6</v>
      </c>
    </row>
    <row r="25" spans="2:11" ht="15.75" thickBot="1" x14ac:dyDescent="0.3">
      <c r="B25" s="137"/>
      <c r="C25" s="138"/>
      <c r="D25" s="149"/>
      <c r="E25" s="150" t="s">
        <v>13</v>
      </c>
      <c r="F25" s="151">
        <f t="shared" ref="F25:K25" si="2">F21-0.025</f>
        <v>3.2749999999999999</v>
      </c>
      <c r="G25" s="151">
        <f t="shared" si="2"/>
        <v>3.2749999999999999</v>
      </c>
      <c r="H25" s="151">
        <f t="shared" si="2"/>
        <v>3.2749999999999999</v>
      </c>
      <c r="I25" s="151">
        <f t="shared" si="2"/>
        <v>3.2749999999999999</v>
      </c>
      <c r="J25" s="151">
        <f t="shared" si="2"/>
        <v>3.2749999999999999</v>
      </c>
      <c r="K25" s="151">
        <f t="shared" si="2"/>
        <v>3.2749999999999999</v>
      </c>
    </row>
    <row r="26" spans="2:11" x14ac:dyDescent="0.25">
      <c r="B26" s="137">
        <v>3</v>
      </c>
      <c r="C26" s="138">
        <v>0.72916666666666663</v>
      </c>
      <c r="D26" s="139">
        <f>D22+1</f>
        <v>43650</v>
      </c>
      <c r="E26" s="140" t="s">
        <v>9</v>
      </c>
      <c r="F26" s="141">
        <v>3.4</v>
      </c>
      <c r="G26" s="141">
        <v>3.05</v>
      </c>
      <c r="H26" s="141">
        <v>3.1</v>
      </c>
      <c r="I26" s="141">
        <v>5.6</v>
      </c>
      <c r="J26" s="141">
        <v>5.4</v>
      </c>
      <c r="K26" s="142">
        <v>5.4</v>
      </c>
    </row>
    <row r="27" spans="2:11" x14ac:dyDescent="0.25">
      <c r="B27" s="137"/>
      <c r="C27" s="138"/>
      <c r="D27" s="143"/>
      <c r="E27" s="144" t="s">
        <v>10</v>
      </c>
      <c r="F27" s="145">
        <v>3.0999999999999996</v>
      </c>
      <c r="G27" s="145">
        <v>3.4</v>
      </c>
      <c r="H27" s="145">
        <v>3.1999999999999997</v>
      </c>
      <c r="I27" s="145">
        <v>3.5</v>
      </c>
      <c r="J27" s="145">
        <v>3.4</v>
      </c>
      <c r="K27" s="146">
        <v>3.4</v>
      </c>
    </row>
    <row r="28" spans="2:11" x14ac:dyDescent="0.25">
      <c r="B28" s="137"/>
      <c r="C28" s="138"/>
      <c r="D28" s="143"/>
      <c r="E28" s="144" t="s">
        <v>44</v>
      </c>
      <c r="F28" s="145">
        <v>15.4</v>
      </c>
      <c r="G28" s="145">
        <v>15.5</v>
      </c>
      <c r="H28" s="145">
        <v>15.4</v>
      </c>
      <c r="I28" s="145">
        <v>15.3</v>
      </c>
      <c r="J28" s="145">
        <v>15.5</v>
      </c>
      <c r="K28" s="146">
        <v>15.7</v>
      </c>
    </row>
    <row r="29" spans="2:11" ht="15.75" thickBot="1" x14ac:dyDescent="0.3">
      <c r="B29" s="137"/>
      <c r="C29" s="138"/>
      <c r="D29" s="149"/>
      <c r="E29" s="150" t="s">
        <v>13</v>
      </c>
      <c r="F29" s="151">
        <f t="shared" ref="F29:K29" si="3">F25-0.025</f>
        <v>3.25</v>
      </c>
      <c r="G29" s="151">
        <f t="shared" si="3"/>
        <v>3.25</v>
      </c>
      <c r="H29" s="151">
        <f t="shared" si="3"/>
        <v>3.25</v>
      </c>
      <c r="I29" s="151">
        <f t="shared" si="3"/>
        <v>3.25</v>
      </c>
      <c r="J29" s="151">
        <f t="shared" si="3"/>
        <v>3.25</v>
      </c>
      <c r="K29" s="151">
        <f t="shared" si="3"/>
        <v>3.25</v>
      </c>
    </row>
    <row r="30" spans="2:11" x14ac:dyDescent="0.25">
      <c r="B30" s="137">
        <v>4</v>
      </c>
      <c r="C30" s="138">
        <v>0.72916666666666663</v>
      </c>
      <c r="D30" s="139">
        <f>D26+1</f>
        <v>43651</v>
      </c>
      <c r="E30" s="140" t="s">
        <v>9</v>
      </c>
      <c r="F30" s="141">
        <v>3.35</v>
      </c>
      <c r="G30" s="141">
        <v>3</v>
      </c>
      <c r="H30" s="141">
        <v>3.1</v>
      </c>
      <c r="I30" s="141">
        <v>5.8</v>
      </c>
      <c r="J30" s="141">
        <v>5.65</v>
      </c>
      <c r="K30" s="142">
        <v>5.8</v>
      </c>
    </row>
    <row r="31" spans="2:11" x14ac:dyDescent="0.25">
      <c r="B31" s="137"/>
      <c r="C31" s="138"/>
      <c r="D31" s="143"/>
      <c r="E31" s="144" t="s">
        <v>10</v>
      </c>
      <c r="F31" s="145">
        <v>3.3</v>
      </c>
      <c r="G31" s="145">
        <v>3.4</v>
      </c>
      <c r="H31" s="145">
        <v>3.0999999999999996</v>
      </c>
      <c r="I31" s="145">
        <v>3.4</v>
      </c>
      <c r="J31" s="145">
        <v>3.3</v>
      </c>
      <c r="K31" s="146">
        <v>3.3</v>
      </c>
    </row>
    <row r="32" spans="2:11" x14ac:dyDescent="0.25">
      <c r="B32" s="137"/>
      <c r="C32" s="138"/>
      <c r="D32" s="143"/>
      <c r="E32" s="144" t="s">
        <v>44</v>
      </c>
      <c r="F32" s="145">
        <v>16.100000000000001</v>
      </c>
      <c r="G32" s="145">
        <v>15.8</v>
      </c>
      <c r="H32" s="145">
        <v>15.9</v>
      </c>
      <c r="I32" s="145">
        <v>15.9</v>
      </c>
      <c r="J32" s="145">
        <v>16</v>
      </c>
      <c r="K32" s="146">
        <v>16</v>
      </c>
    </row>
    <row r="33" spans="2:13" ht="15.75" thickBot="1" x14ac:dyDescent="0.3">
      <c r="B33" s="137"/>
      <c r="C33" s="138"/>
      <c r="D33" s="149"/>
      <c r="E33" s="150" t="s">
        <v>13</v>
      </c>
      <c r="F33" s="151">
        <f t="shared" ref="F33:K33" si="4">F29-0.025</f>
        <v>3.2250000000000001</v>
      </c>
      <c r="G33" s="151">
        <f t="shared" si="4"/>
        <v>3.2250000000000001</v>
      </c>
      <c r="H33" s="151">
        <f t="shared" si="4"/>
        <v>3.2250000000000001</v>
      </c>
      <c r="I33" s="151">
        <f t="shared" si="4"/>
        <v>3.2250000000000001</v>
      </c>
      <c r="J33" s="151">
        <f t="shared" si="4"/>
        <v>3.2250000000000001</v>
      </c>
      <c r="K33" s="151">
        <f t="shared" si="4"/>
        <v>3.2250000000000001</v>
      </c>
    </row>
    <row r="34" spans="2:13" x14ac:dyDescent="0.25">
      <c r="B34" s="153">
        <v>5</v>
      </c>
      <c r="C34" s="138">
        <v>0.72916666666666663</v>
      </c>
      <c r="D34" s="139">
        <f>D30+1</f>
        <v>43652</v>
      </c>
      <c r="E34" s="140" t="s">
        <v>9</v>
      </c>
      <c r="F34" s="141">
        <v>3.1</v>
      </c>
      <c r="G34" s="141">
        <v>3.05</v>
      </c>
      <c r="H34" s="141">
        <v>3</v>
      </c>
      <c r="I34" s="141">
        <v>5.5</v>
      </c>
      <c r="J34" s="141">
        <v>5.45</v>
      </c>
      <c r="K34" s="142">
        <v>5.4</v>
      </c>
      <c r="M34" s="45"/>
    </row>
    <row r="35" spans="2:13" x14ac:dyDescent="0.25">
      <c r="B35" s="153"/>
      <c r="C35" s="138"/>
      <c r="D35" s="143"/>
      <c r="E35" s="144" t="s">
        <v>10</v>
      </c>
      <c r="F35" s="145">
        <v>3.0999999999999996</v>
      </c>
      <c r="G35" s="145">
        <v>3.3</v>
      </c>
      <c r="H35" s="145">
        <v>3</v>
      </c>
      <c r="I35" s="145">
        <v>3.3</v>
      </c>
      <c r="J35" s="145">
        <v>3.1999999999999997</v>
      </c>
      <c r="K35" s="146">
        <v>3.1999999999999997</v>
      </c>
    </row>
    <row r="36" spans="2:13" x14ac:dyDescent="0.25">
      <c r="B36" s="153"/>
      <c r="C36" s="138"/>
      <c r="D36" s="143"/>
      <c r="E36" s="144" t="s">
        <v>44</v>
      </c>
      <c r="F36" s="145">
        <v>15.6</v>
      </c>
      <c r="G36" s="145">
        <v>15.5</v>
      </c>
      <c r="H36" s="145">
        <v>15.5</v>
      </c>
      <c r="I36" s="145">
        <v>15.7</v>
      </c>
      <c r="J36" s="145">
        <v>15.4</v>
      </c>
      <c r="K36" s="146">
        <v>15.5</v>
      </c>
    </row>
    <row r="37" spans="2:13" ht="15.75" thickBot="1" x14ac:dyDescent="0.3">
      <c r="B37" s="153"/>
      <c r="C37" s="138"/>
      <c r="D37" s="149"/>
      <c r="E37" s="150" t="s">
        <v>13</v>
      </c>
      <c r="F37" s="151">
        <f t="shared" ref="F37:K37" si="5">F33-0.025</f>
        <v>3.2</v>
      </c>
      <c r="G37" s="151">
        <f t="shared" si="5"/>
        <v>3.2</v>
      </c>
      <c r="H37" s="151">
        <f t="shared" si="5"/>
        <v>3.2</v>
      </c>
      <c r="I37" s="151">
        <f t="shared" si="5"/>
        <v>3.2</v>
      </c>
      <c r="J37" s="151">
        <f t="shared" si="5"/>
        <v>3.2</v>
      </c>
      <c r="K37" s="151">
        <f t="shared" si="5"/>
        <v>3.2</v>
      </c>
    </row>
    <row r="38" spans="2:13" x14ac:dyDescent="0.25">
      <c r="B38" s="137">
        <v>6</v>
      </c>
      <c r="C38" s="138">
        <v>0.72916666666666663</v>
      </c>
      <c r="D38" s="139">
        <f>D34+1</f>
        <v>43653</v>
      </c>
      <c r="E38" s="140" t="s">
        <v>9</v>
      </c>
      <c r="F38" s="141">
        <v>3.2</v>
      </c>
      <c r="G38" s="141">
        <v>3.05</v>
      </c>
      <c r="H38" s="141">
        <v>3</v>
      </c>
      <c r="I38" s="141">
        <v>5.4</v>
      </c>
      <c r="J38" s="141">
        <v>5.3</v>
      </c>
      <c r="K38" s="142">
        <v>5.4</v>
      </c>
    </row>
    <row r="39" spans="2:13" x14ac:dyDescent="0.25">
      <c r="B39" s="137"/>
      <c r="C39" s="138"/>
      <c r="D39" s="143"/>
      <c r="E39" s="144" t="s">
        <v>10</v>
      </c>
      <c r="F39" s="145">
        <v>3.0999999999999996</v>
      </c>
      <c r="G39" s="145">
        <v>3.3</v>
      </c>
      <c r="H39" s="145">
        <v>3.0999999999999996</v>
      </c>
      <c r="I39" s="145">
        <v>3.3</v>
      </c>
      <c r="J39" s="145">
        <v>3.1999999999999997</v>
      </c>
      <c r="K39" s="146">
        <v>3.1999999999999997</v>
      </c>
    </row>
    <row r="40" spans="2:13" x14ac:dyDescent="0.25">
      <c r="B40" s="137"/>
      <c r="C40" s="138"/>
      <c r="D40" s="143"/>
      <c r="E40" s="144" t="s">
        <v>44</v>
      </c>
      <c r="F40" s="145">
        <v>16</v>
      </c>
      <c r="G40" s="145">
        <v>15.4</v>
      </c>
      <c r="H40" s="145">
        <v>15.5</v>
      </c>
      <c r="I40" s="145">
        <v>15.8</v>
      </c>
      <c r="J40" s="145">
        <v>15.9</v>
      </c>
      <c r="K40" s="146">
        <v>16</v>
      </c>
    </row>
    <row r="41" spans="2:13" ht="15.75" thickBot="1" x14ac:dyDescent="0.3">
      <c r="B41" s="137"/>
      <c r="C41" s="138"/>
      <c r="D41" s="149"/>
      <c r="E41" s="150" t="s">
        <v>13</v>
      </c>
      <c r="F41" s="154">
        <f t="shared" ref="F41:K41" si="6">F37-0.4</f>
        <v>2.8000000000000003</v>
      </c>
      <c r="G41" s="154">
        <f t="shared" si="6"/>
        <v>2.8000000000000003</v>
      </c>
      <c r="H41" s="154">
        <f t="shared" si="6"/>
        <v>2.8000000000000003</v>
      </c>
      <c r="I41" s="154">
        <f t="shared" si="6"/>
        <v>2.8000000000000003</v>
      </c>
      <c r="J41" s="154">
        <f t="shared" si="6"/>
        <v>2.8000000000000003</v>
      </c>
      <c r="K41" s="154">
        <f t="shared" si="6"/>
        <v>2.8000000000000003</v>
      </c>
    </row>
    <row r="42" spans="2:13" x14ac:dyDescent="0.25">
      <c r="B42" s="137">
        <v>7</v>
      </c>
      <c r="C42" s="138">
        <v>0.72916666666666663</v>
      </c>
      <c r="D42" s="139">
        <f>D38+1</f>
        <v>43654</v>
      </c>
      <c r="E42" s="140" t="s">
        <v>9</v>
      </c>
      <c r="F42" s="141">
        <v>3.1</v>
      </c>
      <c r="G42" s="141">
        <v>3.05</v>
      </c>
      <c r="H42" s="141">
        <v>3.05</v>
      </c>
      <c r="I42" s="141">
        <v>5.35</v>
      </c>
      <c r="J42" s="141">
        <v>5.3</v>
      </c>
      <c r="K42" s="142">
        <v>5.5</v>
      </c>
      <c r="L42" s="52"/>
    </row>
    <row r="43" spans="2:13" x14ac:dyDescent="0.25">
      <c r="B43" s="137"/>
      <c r="C43" s="138"/>
      <c r="D43" s="143"/>
      <c r="E43" s="144" t="s">
        <v>10</v>
      </c>
      <c r="F43" s="145">
        <v>3.1999999999999997</v>
      </c>
      <c r="G43" s="145">
        <v>3.3</v>
      </c>
      <c r="H43" s="145">
        <v>3.0999999999999996</v>
      </c>
      <c r="I43" s="145">
        <v>3.3</v>
      </c>
      <c r="J43" s="145">
        <v>3.1999999999999997</v>
      </c>
      <c r="K43" s="146">
        <v>3.1999999999999997</v>
      </c>
    </row>
    <row r="44" spans="2:13" x14ac:dyDescent="0.25">
      <c r="B44" s="137"/>
      <c r="C44" s="138"/>
      <c r="D44" s="143"/>
      <c r="E44" s="144" t="s">
        <v>44</v>
      </c>
      <c r="F44" s="145">
        <v>15.8</v>
      </c>
      <c r="G44" s="145">
        <v>15.8</v>
      </c>
      <c r="H44" s="145">
        <v>15.6</v>
      </c>
      <c r="I44" s="145">
        <v>16</v>
      </c>
      <c r="J44" s="145">
        <v>15.9</v>
      </c>
      <c r="K44" s="146">
        <v>15.7</v>
      </c>
    </row>
    <row r="45" spans="2:13" ht="17.25" customHeight="1" thickBot="1" x14ac:dyDescent="0.3">
      <c r="B45" s="137"/>
      <c r="C45" s="138"/>
      <c r="D45" s="149"/>
      <c r="E45" s="150" t="s">
        <v>13</v>
      </c>
      <c r="F45" s="151">
        <f t="shared" ref="F45:K45" si="7">F41-0.025</f>
        <v>2.7750000000000004</v>
      </c>
      <c r="G45" s="151">
        <f t="shared" si="7"/>
        <v>2.7750000000000004</v>
      </c>
      <c r="H45" s="151">
        <f t="shared" si="7"/>
        <v>2.7750000000000004</v>
      </c>
      <c r="I45" s="151">
        <f t="shared" si="7"/>
        <v>2.7750000000000004</v>
      </c>
      <c r="J45" s="151">
        <f t="shared" si="7"/>
        <v>2.7750000000000004</v>
      </c>
      <c r="K45" s="151">
        <f t="shared" si="7"/>
        <v>2.7750000000000004</v>
      </c>
    </row>
    <row r="46" spans="2:13" x14ac:dyDescent="0.25">
      <c r="B46" s="153">
        <v>8</v>
      </c>
      <c r="C46" s="138">
        <v>0.72916666666666663</v>
      </c>
      <c r="D46" s="139">
        <f>D42+1</f>
        <v>43655</v>
      </c>
      <c r="E46" s="140" t="s">
        <v>9</v>
      </c>
      <c r="F46" s="141">
        <v>3</v>
      </c>
      <c r="G46" s="141">
        <v>3</v>
      </c>
      <c r="H46" s="141">
        <v>3</v>
      </c>
      <c r="I46" s="141">
        <v>5.2</v>
      </c>
      <c r="J46" s="141">
        <v>5.35</v>
      </c>
      <c r="K46" s="142">
        <v>5.45</v>
      </c>
    </row>
    <row r="47" spans="2:13" x14ac:dyDescent="0.25">
      <c r="B47" s="153"/>
      <c r="C47" s="138"/>
      <c r="D47" s="143"/>
      <c r="E47" s="144" t="s">
        <v>10</v>
      </c>
      <c r="F47" s="145">
        <v>3.0999999999999996</v>
      </c>
      <c r="G47" s="145">
        <v>3.3</v>
      </c>
      <c r="H47" s="145">
        <v>3</v>
      </c>
      <c r="I47" s="145">
        <v>3.0999999999999996</v>
      </c>
      <c r="J47" s="145">
        <v>3.0999999999999996</v>
      </c>
      <c r="K47" s="146">
        <v>3.0999999999999996</v>
      </c>
    </row>
    <row r="48" spans="2:13" x14ac:dyDescent="0.25">
      <c r="B48" s="153"/>
      <c r="C48" s="138"/>
      <c r="D48" s="143"/>
      <c r="E48" s="144" t="s">
        <v>44</v>
      </c>
      <c r="F48" s="145">
        <v>15.7</v>
      </c>
      <c r="G48" s="145">
        <v>15.5</v>
      </c>
      <c r="H48" s="145">
        <v>15.9</v>
      </c>
      <c r="I48" s="145">
        <v>16</v>
      </c>
      <c r="J48" s="145">
        <v>15.9</v>
      </c>
      <c r="K48" s="146">
        <v>15.8</v>
      </c>
    </row>
    <row r="49" spans="2:12" ht="15.75" thickBot="1" x14ac:dyDescent="0.3">
      <c r="B49" s="153"/>
      <c r="C49" s="138"/>
      <c r="D49" s="149"/>
      <c r="E49" s="150" t="s">
        <v>13</v>
      </c>
      <c r="F49" s="151">
        <f t="shared" ref="F49:K49" si="8">F45-0.025</f>
        <v>2.7500000000000004</v>
      </c>
      <c r="G49" s="151">
        <f t="shared" si="8"/>
        <v>2.7500000000000004</v>
      </c>
      <c r="H49" s="151">
        <f t="shared" si="8"/>
        <v>2.7500000000000004</v>
      </c>
      <c r="I49" s="151">
        <f t="shared" si="8"/>
        <v>2.7500000000000004</v>
      </c>
      <c r="J49" s="151">
        <f t="shared" si="8"/>
        <v>2.7500000000000004</v>
      </c>
      <c r="K49" s="151">
        <f t="shared" si="8"/>
        <v>2.7500000000000004</v>
      </c>
    </row>
    <row r="50" spans="2:12" x14ac:dyDescent="0.25">
      <c r="B50" s="137">
        <v>9</v>
      </c>
      <c r="C50" s="138">
        <v>0.72916666666666663</v>
      </c>
      <c r="D50" s="139">
        <f>D46+1</f>
        <v>43656</v>
      </c>
      <c r="E50" s="140" t="s">
        <v>9</v>
      </c>
      <c r="F50" s="141">
        <v>3.4</v>
      </c>
      <c r="G50" s="141">
        <v>3.25</v>
      </c>
      <c r="H50" s="141">
        <v>3.05</v>
      </c>
      <c r="I50" s="141">
        <v>5.2</v>
      </c>
      <c r="J50" s="141">
        <v>5.05</v>
      </c>
      <c r="K50" s="142">
        <v>5</v>
      </c>
    </row>
    <row r="51" spans="2:12" x14ac:dyDescent="0.25">
      <c r="B51" s="137"/>
      <c r="C51" s="138"/>
      <c r="D51" s="143"/>
      <c r="E51" s="144" t="s">
        <v>10</v>
      </c>
      <c r="F51" s="145">
        <v>3</v>
      </c>
      <c r="G51" s="145">
        <v>3.1999999999999997</v>
      </c>
      <c r="H51" s="145">
        <v>3</v>
      </c>
      <c r="I51" s="145">
        <v>3</v>
      </c>
      <c r="J51" s="145">
        <v>3.0999999999999996</v>
      </c>
      <c r="K51" s="146">
        <v>3</v>
      </c>
    </row>
    <row r="52" spans="2:12" x14ac:dyDescent="0.25">
      <c r="B52" s="137"/>
      <c r="C52" s="138"/>
      <c r="D52" s="143"/>
      <c r="E52" s="144" t="s">
        <v>44</v>
      </c>
      <c r="F52" s="145">
        <v>16.5</v>
      </c>
      <c r="G52" s="145">
        <v>16.399999999999999</v>
      </c>
      <c r="H52" s="145">
        <v>16.399999999999999</v>
      </c>
      <c r="I52" s="145">
        <v>16.5</v>
      </c>
      <c r="J52" s="145">
        <v>16.3</v>
      </c>
      <c r="K52" s="146">
        <v>16.2</v>
      </c>
    </row>
    <row r="53" spans="2:12" ht="15.75" thickBot="1" x14ac:dyDescent="0.3">
      <c r="B53" s="137"/>
      <c r="C53" s="138"/>
      <c r="D53" s="149"/>
      <c r="E53" s="150" t="s">
        <v>13</v>
      </c>
      <c r="F53" s="154">
        <f t="shared" ref="F53:K53" si="9">F49-0.4</f>
        <v>2.3500000000000005</v>
      </c>
      <c r="G53" s="154">
        <f t="shared" si="9"/>
        <v>2.3500000000000005</v>
      </c>
      <c r="H53" s="154">
        <f t="shared" si="9"/>
        <v>2.3500000000000005</v>
      </c>
      <c r="I53" s="154">
        <f t="shared" si="9"/>
        <v>2.3500000000000005</v>
      </c>
      <c r="J53" s="154">
        <f t="shared" si="9"/>
        <v>2.3500000000000005</v>
      </c>
      <c r="K53" s="154">
        <f t="shared" si="9"/>
        <v>2.3500000000000005</v>
      </c>
      <c r="L53" s="55"/>
    </row>
    <row r="54" spans="2:12" x14ac:dyDescent="0.25">
      <c r="B54" s="137">
        <v>10</v>
      </c>
      <c r="C54" s="138">
        <v>0.72916666666666663</v>
      </c>
      <c r="D54" s="139">
        <f>D50+1</f>
        <v>43657</v>
      </c>
      <c r="E54" s="140" t="s">
        <v>9</v>
      </c>
      <c r="F54" s="141">
        <v>3.35</v>
      </c>
      <c r="G54" s="141">
        <v>3.15</v>
      </c>
      <c r="H54" s="141">
        <v>3</v>
      </c>
      <c r="I54" s="141">
        <v>5.15</v>
      </c>
      <c r="J54" s="141">
        <v>5.05</v>
      </c>
      <c r="K54" s="142">
        <v>5</v>
      </c>
    </row>
    <row r="55" spans="2:12" x14ac:dyDescent="0.25">
      <c r="B55" s="137"/>
      <c r="C55" s="138"/>
      <c r="D55" s="143"/>
      <c r="E55" s="144" t="s">
        <v>10</v>
      </c>
      <c r="F55" s="145">
        <v>3</v>
      </c>
      <c r="G55" s="145">
        <v>3.1999999999999997</v>
      </c>
      <c r="H55" s="145">
        <v>3</v>
      </c>
      <c r="I55" s="145">
        <v>3</v>
      </c>
      <c r="J55" s="145">
        <v>3</v>
      </c>
      <c r="K55" s="146">
        <v>3.0999999999999996</v>
      </c>
    </row>
    <row r="56" spans="2:12" x14ac:dyDescent="0.25">
      <c r="B56" s="137"/>
      <c r="C56" s="138"/>
      <c r="D56" s="143"/>
      <c r="E56" s="144" t="s">
        <v>44</v>
      </c>
      <c r="F56" s="147">
        <v>15.4</v>
      </c>
      <c r="G56" s="147">
        <v>15.5</v>
      </c>
      <c r="H56" s="147">
        <v>15.5</v>
      </c>
      <c r="I56" s="147">
        <v>15.7</v>
      </c>
      <c r="J56" s="147">
        <v>15.4</v>
      </c>
      <c r="K56" s="148">
        <v>15.8</v>
      </c>
    </row>
    <row r="57" spans="2:12" ht="15.75" thickBot="1" x14ac:dyDescent="0.3">
      <c r="B57" s="137"/>
      <c r="C57" s="138"/>
      <c r="D57" s="149"/>
      <c r="E57" s="150" t="s">
        <v>13</v>
      </c>
      <c r="F57" s="151">
        <f t="shared" ref="F57:K57" si="10">F53-0.025</f>
        <v>2.3250000000000006</v>
      </c>
      <c r="G57" s="151">
        <f t="shared" si="10"/>
        <v>2.3250000000000006</v>
      </c>
      <c r="H57" s="151">
        <f t="shared" si="10"/>
        <v>2.3250000000000006</v>
      </c>
      <c r="I57" s="151">
        <f t="shared" si="10"/>
        <v>2.3250000000000006</v>
      </c>
      <c r="J57" s="151">
        <f t="shared" si="10"/>
        <v>2.3250000000000006</v>
      </c>
      <c r="K57" s="151">
        <f t="shared" si="10"/>
        <v>2.3250000000000006</v>
      </c>
    </row>
    <row r="58" spans="2:12" x14ac:dyDescent="0.25">
      <c r="B58" s="137">
        <v>11</v>
      </c>
      <c r="C58" s="138">
        <v>0.72916666666666663</v>
      </c>
      <c r="D58" s="139">
        <f>D54+1</f>
        <v>43658</v>
      </c>
      <c r="E58" s="140" t="s">
        <v>9</v>
      </c>
      <c r="F58" s="141">
        <v>3.35</v>
      </c>
      <c r="G58" s="141">
        <v>3.1</v>
      </c>
      <c r="H58" s="141">
        <v>3</v>
      </c>
      <c r="I58" s="141">
        <v>5.0999999999999996</v>
      </c>
      <c r="J58" s="141">
        <v>5</v>
      </c>
      <c r="K58" s="142">
        <v>5</v>
      </c>
    </row>
    <row r="59" spans="2:12" x14ac:dyDescent="0.25">
      <c r="B59" s="137"/>
      <c r="C59" s="138"/>
      <c r="D59" s="143"/>
      <c r="E59" s="144" t="s">
        <v>10</v>
      </c>
      <c r="F59" s="145">
        <v>3</v>
      </c>
      <c r="G59" s="145">
        <v>3.1999999999999997</v>
      </c>
      <c r="H59" s="145">
        <v>3</v>
      </c>
      <c r="I59" s="145">
        <v>3</v>
      </c>
      <c r="J59" s="145">
        <v>3</v>
      </c>
      <c r="K59" s="146">
        <v>2.9</v>
      </c>
    </row>
    <row r="60" spans="2:12" x14ac:dyDescent="0.25">
      <c r="B60" s="137"/>
      <c r="C60" s="138"/>
      <c r="D60" s="143"/>
      <c r="E60" s="144" t="s">
        <v>44</v>
      </c>
      <c r="F60" s="145">
        <v>15.9</v>
      </c>
      <c r="G60" s="145">
        <v>16</v>
      </c>
      <c r="H60" s="145">
        <v>15.8</v>
      </c>
      <c r="I60" s="145">
        <v>16.100000000000001</v>
      </c>
      <c r="J60" s="145">
        <v>16</v>
      </c>
      <c r="K60" s="146">
        <v>15.8</v>
      </c>
    </row>
    <row r="61" spans="2:12" ht="15.75" thickBot="1" x14ac:dyDescent="0.3">
      <c r="B61" s="137"/>
      <c r="C61" s="138"/>
      <c r="D61" s="149"/>
      <c r="E61" s="155" t="s">
        <v>13</v>
      </c>
      <c r="F61" s="156">
        <f t="shared" ref="F61:K61" si="11">F57-0.025</f>
        <v>2.3000000000000007</v>
      </c>
      <c r="G61" s="156">
        <f t="shared" si="11"/>
        <v>2.3000000000000007</v>
      </c>
      <c r="H61" s="156">
        <f t="shared" si="11"/>
        <v>2.3000000000000007</v>
      </c>
      <c r="I61" s="156">
        <f t="shared" si="11"/>
        <v>2.3000000000000007</v>
      </c>
      <c r="J61" s="156">
        <f t="shared" si="11"/>
        <v>2.3000000000000007</v>
      </c>
      <c r="K61" s="157">
        <f t="shared" si="11"/>
        <v>2.3000000000000007</v>
      </c>
    </row>
    <row r="62" spans="2:12" x14ac:dyDescent="0.25">
      <c r="B62" s="153">
        <v>12</v>
      </c>
      <c r="C62" s="138">
        <v>0.72916666666666663</v>
      </c>
      <c r="D62" s="139">
        <f>D58+1</f>
        <v>43659</v>
      </c>
      <c r="E62" s="140" t="s">
        <v>9</v>
      </c>
      <c r="F62" s="141">
        <v>3.2</v>
      </c>
      <c r="G62" s="141">
        <v>3.1</v>
      </c>
      <c r="H62" s="141">
        <v>2.95</v>
      </c>
      <c r="I62" s="141">
        <v>5.05</v>
      </c>
      <c r="J62" s="141">
        <v>4.95</v>
      </c>
      <c r="K62" s="142">
        <v>5</v>
      </c>
    </row>
    <row r="63" spans="2:12" x14ac:dyDescent="0.25">
      <c r="B63" s="153"/>
      <c r="C63" s="138"/>
      <c r="D63" s="143"/>
      <c r="E63" s="144" t="s">
        <v>10</v>
      </c>
      <c r="F63" s="145">
        <v>2.9</v>
      </c>
      <c r="G63" s="145">
        <v>3.0999999999999996</v>
      </c>
      <c r="H63" s="145">
        <v>3</v>
      </c>
      <c r="I63" s="145">
        <v>2.9</v>
      </c>
      <c r="J63" s="145">
        <v>3</v>
      </c>
      <c r="K63" s="146">
        <v>2.9</v>
      </c>
    </row>
    <row r="64" spans="2:12" x14ac:dyDescent="0.25">
      <c r="B64" s="153"/>
      <c r="C64" s="138"/>
      <c r="D64" s="143"/>
      <c r="E64" s="144" t="s">
        <v>44</v>
      </c>
      <c r="F64" s="145">
        <v>15.4</v>
      </c>
      <c r="G64" s="145">
        <v>15.5</v>
      </c>
      <c r="H64" s="145">
        <v>15.8</v>
      </c>
      <c r="I64" s="145">
        <v>15.5</v>
      </c>
      <c r="J64" s="145">
        <v>15.6</v>
      </c>
      <c r="K64" s="146">
        <v>15.6</v>
      </c>
    </row>
    <row r="65" spans="2:11" ht="15.75" thickBot="1" x14ac:dyDescent="0.3">
      <c r="B65" s="153"/>
      <c r="C65" s="138"/>
      <c r="D65" s="149"/>
      <c r="E65" s="155" t="s">
        <v>13</v>
      </c>
      <c r="F65" s="156">
        <f t="shared" ref="F65:K65" si="12">F61-0.025</f>
        <v>2.2750000000000008</v>
      </c>
      <c r="G65" s="156">
        <f t="shared" si="12"/>
        <v>2.2750000000000008</v>
      </c>
      <c r="H65" s="156">
        <f t="shared" si="12"/>
        <v>2.2750000000000008</v>
      </c>
      <c r="I65" s="156">
        <f t="shared" si="12"/>
        <v>2.2750000000000008</v>
      </c>
      <c r="J65" s="156">
        <f t="shared" si="12"/>
        <v>2.2750000000000008</v>
      </c>
      <c r="K65" s="157">
        <f t="shared" si="12"/>
        <v>2.2750000000000008</v>
      </c>
    </row>
    <row r="66" spans="2:11" x14ac:dyDescent="0.25">
      <c r="B66" s="137">
        <v>13</v>
      </c>
      <c r="C66" s="138">
        <v>0.72916666666666663</v>
      </c>
      <c r="D66" s="139">
        <f>D62+1</f>
        <v>43660</v>
      </c>
      <c r="E66" s="140" t="s">
        <v>9</v>
      </c>
      <c r="F66" s="141">
        <v>3.4</v>
      </c>
      <c r="G66" s="141">
        <v>3.2</v>
      </c>
      <c r="H66" s="141">
        <v>3.05</v>
      </c>
      <c r="I66" s="141">
        <v>5.15</v>
      </c>
      <c r="J66" s="141">
        <v>4.9000000000000004</v>
      </c>
      <c r="K66" s="142">
        <v>5.2</v>
      </c>
    </row>
    <row r="67" spans="2:11" x14ac:dyDescent="0.25">
      <c r="B67" s="137"/>
      <c r="C67" s="138"/>
      <c r="D67" s="143"/>
      <c r="E67" s="144" t="s">
        <v>10</v>
      </c>
      <c r="F67" s="145">
        <v>3</v>
      </c>
      <c r="G67" s="145">
        <v>3.0999999999999996</v>
      </c>
      <c r="H67" s="145">
        <v>3</v>
      </c>
      <c r="I67" s="145">
        <v>2.9</v>
      </c>
      <c r="J67" s="145">
        <v>2.9</v>
      </c>
      <c r="K67" s="146">
        <v>2.9</v>
      </c>
    </row>
    <row r="68" spans="2:11" x14ac:dyDescent="0.25">
      <c r="B68" s="137"/>
      <c r="C68" s="138"/>
      <c r="D68" s="143"/>
      <c r="E68" s="144" t="s">
        <v>44</v>
      </c>
      <c r="F68" s="147">
        <v>15.4</v>
      </c>
      <c r="G68" s="147">
        <v>15.5</v>
      </c>
      <c r="H68" s="147">
        <v>15.5</v>
      </c>
      <c r="I68" s="147">
        <v>15.7</v>
      </c>
      <c r="J68" s="147">
        <v>15.4</v>
      </c>
      <c r="K68" s="148">
        <v>15.8</v>
      </c>
    </row>
    <row r="69" spans="2:11" ht="15.75" thickBot="1" x14ac:dyDescent="0.3">
      <c r="B69" s="137"/>
      <c r="C69" s="138"/>
      <c r="D69" s="149"/>
      <c r="E69" s="155" t="s">
        <v>13</v>
      </c>
      <c r="F69" s="156">
        <f t="shared" ref="F69:K69" si="13">F65-0.3</f>
        <v>1.9750000000000008</v>
      </c>
      <c r="G69" s="156">
        <f t="shared" si="13"/>
        <v>1.9750000000000008</v>
      </c>
      <c r="H69" s="156">
        <f t="shared" si="13"/>
        <v>1.9750000000000008</v>
      </c>
      <c r="I69" s="156">
        <f t="shared" si="13"/>
        <v>1.9750000000000008</v>
      </c>
      <c r="J69" s="156">
        <f t="shared" si="13"/>
        <v>1.9750000000000008</v>
      </c>
      <c r="K69" s="156">
        <f t="shared" si="13"/>
        <v>1.9750000000000008</v>
      </c>
    </row>
    <row r="70" spans="2:11" x14ac:dyDescent="0.25">
      <c r="B70" s="137">
        <v>14</v>
      </c>
      <c r="C70" s="138">
        <v>0.77083333333333337</v>
      </c>
      <c r="D70" s="139">
        <f>D66+1</f>
        <v>43661</v>
      </c>
      <c r="E70" s="140" t="s">
        <v>9</v>
      </c>
      <c r="F70" s="141">
        <v>3.4</v>
      </c>
      <c r="G70" s="141">
        <v>3.2</v>
      </c>
      <c r="H70" s="141">
        <v>3</v>
      </c>
      <c r="I70" s="141">
        <v>5.2</v>
      </c>
      <c r="J70" s="141">
        <v>5</v>
      </c>
      <c r="K70" s="142">
        <v>5.05</v>
      </c>
    </row>
    <row r="71" spans="2:11" x14ac:dyDescent="0.25">
      <c r="B71" s="137"/>
      <c r="C71" s="138"/>
      <c r="D71" s="143"/>
      <c r="E71" s="144" t="s">
        <v>10</v>
      </c>
      <c r="F71" s="145">
        <v>3</v>
      </c>
      <c r="G71" s="145">
        <v>3.0999999999999996</v>
      </c>
      <c r="H71" s="145">
        <v>3</v>
      </c>
      <c r="I71" s="145">
        <v>2.9</v>
      </c>
      <c r="J71" s="145">
        <v>3</v>
      </c>
      <c r="K71" s="146">
        <v>2.9</v>
      </c>
    </row>
    <row r="72" spans="2:11" x14ac:dyDescent="0.25">
      <c r="B72" s="137"/>
      <c r="C72" s="138"/>
      <c r="D72" s="143"/>
      <c r="E72" s="144" t="s">
        <v>44</v>
      </c>
      <c r="F72" s="147">
        <v>15.4</v>
      </c>
      <c r="G72" s="147">
        <v>15.5</v>
      </c>
      <c r="H72" s="147">
        <v>15.5</v>
      </c>
      <c r="I72" s="147">
        <v>15.7</v>
      </c>
      <c r="J72" s="147">
        <v>15.4</v>
      </c>
      <c r="K72" s="148">
        <v>15.8</v>
      </c>
    </row>
    <row r="73" spans="2:11" ht="15.75" thickBot="1" x14ac:dyDescent="0.3">
      <c r="B73" s="137"/>
      <c r="C73" s="138"/>
      <c r="D73" s="149"/>
      <c r="E73" s="155" t="s">
        <v>13</v>
      </c>
      <c r="F73" s="156">
        <f>F69-0.025</f>
        <v>1.9500000000000008</v>
      </c>
      <c r="G73" s="156">
        <f>G69-0.025</f>
        <v>1.9500000000000008</v>
      </c>
      <c r="H73" s="156">
        <f>H69-0.025</f>
        <v>1.9500000000000008</v>
      </c>
      <c r="I73" s="156">
        <f>I69-0.025</f>
        <v>1.9500000000000008</v>
      </c>
      <c r="J73" s="156">
        <f>J69-0.025</f>
        <v>1.9500000000000008</v>
      </c>
      <c r="K73" s="156">
        <f>K69-0.025</f>
        <v>1.9500000000000008</v>
      </c>
    </row>
    <row r="74" spans="2:11" x14ac:dyDescent="0.25">
      <c r="B74" s="137">
        <v>15</v>
      </c>
      <c r="C74" s="138">
        <v>0.70833333333333337</v>
      </c>
      <c r="D74" s="139">
        <f>D70+1</f>
        <v>43662</v>
      </c>
      <c r="E74" s="140" t="s">
        <v>9</v>
      </c>
      <c r="F74" s="141">
        <v>3.3</v>
      </c>
      <c r="G74" s="141">
        <v>3.15</v>
      </c>
      <c r="H74" s="141">
        <v>3</v>
      </c>
      <c r="I74" s="141">
        <v>5.2</v>
      </c>
      <c r="J74" s="141">
        <v>4.95</v>
      </c>
      <c r="K74" s="142">
        <v>5</v>
      </c>
    </row>
    <row r="75" spans="2:11" x14ac:dyDescent="0.25">
      <c r="B75" s="137"/>
      <c r="C75" s="138"/>
      <c r="D75" s="143"/>
      <c r="E75" s="144" t="s">
        <v>10</v>
      </c>
      <c r="F75" s="145">
        <v>3</v>
      </c>
      <c r="G75" s="145">
        <v>3.0999999999999996</v>
      </c>
      <c r="H75" s="145">
        <v>3</v>
      </c>
      <c r="I75" s="145">
        <v>2.9</v>
      </c>
      <c r="J75" s="145">
        <v>3</v>
      </c>
      <c r="K75" s="146">
        <v>2.9</v>
      </c>
    </row>
    <row r="76" spans="2:11" x14ac:dyDescent="0.25">
      <c r="B76" s="137"/>
      <c r="C76" s="138"/>
      <c r="D76" s="143"/>
      <c r="E76" s="144" t="s">
        <v>44</v>
      </c>
      <c r="F76" s="147">
        <v>15.4</v>
      </c>
      <c r="G76" s="147">
        <v>15.5</v>
      </c>
      <c r="H76" s="147">
        <v>15.5</v>
      </c>
      <c r="I76" s="147">
        <v>15.7</v>
      </c>
      <c r="J76" s="147">
        <v>15.4</v>
      </c>
      <c r="K76" s="148">
        <v>15.8</v>
      </c>
    </row>
    <row r="77" spans="2:11" ht="15.75" thickBot="1" x14ac:dyDescent="0.3">
      <c r="B77" s="137"/>
      <c r="C77" s="138"/>
      <c r="D77" s="149"/>
      <c r="E77" s="155" t="s">
        <v>13</v>
      </c>
      <c r="F77" s="156">
        <f>F73-0.025</f>
        <v>1.9250000000000009</v>
      </c>
      <c r="G77" s="156">
        <f>G73-0.025</f>
        <v>1.9250000000000009</v>
      </c>
      <c r="H77" s="156">
        <f>H73-0.025</f>
        <v>1.9250000000000009</v>
      </c>
      <c r="I77" s="156">
        <f>I73-0.025</f>
        <v>1.9250000000000009</v>
      </c>
      <c r="J77" s="156">
        <f>J73-0.025</f>
        <v>1.9250000000000009</v>
      </c>
      <c r="K77" s="156">
        <f>K73-0.025</f>
        <v>1.9250000000000009</v>
      </c>
    </row>
    <row r="78" spans="2:11" x14ac:dyDescent="0.25">
      <c r="B78" s="137">
        <v>16</v>
      </c>
      <c r="C78" s="138">
        <v>0.79166666666666663</v>
      </c>
      <c r="D78" s="139">
        <f>D74+1</f>
        <v>43663</v>
      </c>
      <c r="E78" s="140" t="s">
        <v>9</v>
      </c>
      <c r="F78" s="141">
        <v>3.35</v>
      </c>
      <c r="G78" s="141">
        <v>3.25</v>
      </c>
      <c r="H78" s="141">
        <v>3</v>
      </c>
      <c r="I78" s="141">
        <v>5.0999999999999996</v>
      </c>
      <c r="J78" s="141">
        <v>4.8</v>
      </c>
      <c r="K78" s="142">
        <v>5</v>
      </c>
    </row>
    <row r="79" spans="2:11" x14ac:dyDescent="0.25">
      <c r="B79" s="137"/>
      <c r="C79" s="138"/>
      <c r="D79" s="143"/>
      <c r="E79" s="144" t="s">
        <v>10</v>
      </c>
      <c r="F79" s="145">
        <v>2.9499999999999997</v>
      </c>
      <c r="G79" s="145">
        <v>3.0999999999999996</v>
      </c>
      <c r="H79" s="145">
        <v>3</v>
      </c>
      <c r="I79" s="145">
        <v>2.9</v>
      </c>
      <c r="J79" s="145">
        <v>2.9</v>
      </c>
      <c r="K79" s="146">
        <v>2.8</v>
      </c>
    </row>
    <row r="80" spans="2:11" x14ac:dyDescent="0.25">
      <c r="B80" s="137"/>
      <c r="C80" s="138"/>
      <c r="D80" s="143"/>
      <c r="E80" s="144" t="s">
        <v>44</v>
      </c>
      <c r="F80" s="145">
        <v>15.8</v>
      </c>
      <c r="G80" s="145">
        <v>15.8</v>
      </c>
      <c r="H80" s="145">
        <v>15.6</v>
      </c>
      <c r="I80" s="145">
        <v>16</v>
      </c>
      <c r="J80" s="145">
        <v>15.9</v>
      </c>
      <c r="K80" s="146">
        <v>15.7</v>
      </c>
    </row>
    <row r="81" spans="2:17" ht="15.75" thickBot="1" x14ac:dyDescent="0.3">
      <c r="B81" s="137"/>
      <c r="C81" s="138"/>
      <c r="D81" s="149"/>
      <c r="E81" s="155" t="s">
        <v>13</v>
      </c>
      <c r="F81" s="156">
        <f t="shared" ref="F81:K81" si="14">F77-0.025</f>
        <v>1.900000000000001</v>
      </c>
      <c r="G81" s="156">
        <f t="shared" si="14"/>
        <v>1.900000000000001</v>
      </c>
      <c r="H81" s="156">
        <f t="shared" si="14"/>
        <v>1.900000000000001</v>
      </c>
      <c r="I81" s="156">
        <f t="shared" si="14"/>
        <v>1.900000000000001</v>
      </c>
      <c r="J81" s="156">
        <f t="shared" si="14"/>
        <v>1.900000000000001</v>
      </c>
      <c r="K81" s="156">
        <f t="shared" si="14"/>
        <v>1.900000000000001</v>
      </c>
    </row>
    <row r="82" spans="2:17" x14ac:dyDescent="0.25">
      <c r="B82" s="137">
        <v>17</v>
      </c>
      <c r="C82" s="138">
        <v>0.625</v>
      </c>
      <c r="D82" s="139">
        <f>D78+1</f>
        <v>43664</v>
      </c>
      <c r="E82" s="140" t="s">
        <v>9</v>
      </c>
      <c r="F82" s="141">
        <v>3.25</v>
      </c>
      <c r="G82" s="141">
        <v>3</v>
      </c>
      <c r="H82" s="141">
        <v>2.9</v>
      </c>
      <c r="I82" s="141">
        <v>5</v>
      </c>
      <c r="J82" s="141">
        <v>4.8</v>
      </c>
      <c r="K82" s="142">
        <v>5</v>
      </c>
      <c r="L82" s="65"/>
      <c r="M82" s="2"/>
      <c r="N82" s="2"/>
      <c r="O82" s="2"/>
      <c r="P82" s="2"/>
      <c r="Q82" s="2"/>
    </row>
    <row r="83" spans="2:17" x14ac:dyDescent="0.25">
      <c r="B83" s="137"/>
      <c r="C83" s="138"/>
      <c r="D83" s="143"/>
      <c r="E83" s="144" t="s">
        <v>10</v>
      </c>
      <c r="F83" s="158">
        <v>2.9</v>
      </c>
      <c r="G83" s="158">
        <v>3</v>
      </c>
      <c r="H83" s="159">
        <v>2.9</v>
      </c>
      <c r="I83" s="158">
        <v>2.8</v>
      </c>
      <c r="J83" s="158">
        <v>2.9</v>
      </c>
      <c r="K83" s="159">
        <v>2.8</v>
      </c>
      <c r="L83" s="70"/>
      <c r="M83" s="71"/>
      <c r="N83" s="72"/>
      <c r="O83" s="71"/>
      <c r="P83" s="2"/>
      <c r="Q83" s="73"/>
    </row>
    <row r="84" spans="2:17" x14ac:dyDescent="0.25">
      <c r="B84" s="137"/>
      <c r="C84" s="138"/>
      <c r="D84" s="143"/>
      <c r="E84" s="144" t="s">
        <v>44</v>
      </c>
      <c r="F84" s="145">
        <v>15.8</v>
      </c>
      <c r="G84" s="145">
        <v>15.8</v>
      </c>
      <c r="H84" s="145">
        <v>15.6</v>
      </c>
      <c r="I84" s="145">
        <v>16</v>
      </c>
      <c r="J84" s="145">
        <v>15.9</v>
      </c>
      <c r="K84" s="146">
        <v>15.7</v>
      </c>
    </row>
    <row r="85" spans="2:17" ht="15.75" thickBot="1" x14ac:dyDescent="0.3">
      <c r="B85" s="137"/>
      <c r="C85" s="138"/>
      <c r="D85" s="149"/>
      <c r="E85" s="155" t="s">
        <v>13</v>
      </c>
      <c r="F85" s="156">
        <f t="shared" ref="F85:K85" si="15">F81-0.025</f>
        <v>1.8750000000000011</v>
      </c>
      <c r="G85" s="156">
        <f t="shared" si="15"/>
        <v>1.8750000000000011</v>
      </c>
      <c r="H85" s="156">
        <f t="shared" si="15"/>
        <v>1.8750000000000011</v>
      </c>
      <c r="I85" s="156">
        <f t="shared" si="15"/>
        <v>1.8750000000000011</v>
      </c>
      <c r="J85" s="156">
        <f t="shared" si="15"/>
        <v>1.8750000000000011</v>
      </c>
      <c r="K85" s="156">
        <f t="shared" si="15"/>
        <v>1.8750000000000011</v>
      </c>
    </row>
    <row r="86" spans="2:17" x14ac:dyDescent="0.25">
      <c r="B86" s="137">
        <v>18</v>
      </c>
      <c r="C86" s="138">
        <v>0.70833333333333337</v>
      </c>
      <c r="D86" s="139">
        <f>D82+1</f>
        <v>43665</v>
      </c>
      <c r="E86" s="140" t="s">
        <v>9</v>
      </c>
      <c r="F86" s="141">
        <v>3.25</v>
      </c>
      <c r="G86" s="141">
        <v>3.05</v>
      </c>
      <c r="H86" s="141">
        <v>3</v>
      </c>
      <c r="I86" s="141">
        <v>5</v>
      </c>
      <c r="J86" s="141">
        <v>4.75</v>
      </c>
      <c r="K86" s="142">
        <v>4.95</v>
      </c>
    </row>
    <row r="87" spans="2:17" x14ac:dyDescent="0.25">
      <c r="B87" s="137"/>
      <c r="C87" s="138"/>
      <c r="D87" s="143"/>
      <c r="E87" s="144" t="s">
        <v>10</v>
      </c>
      <c r="F87" s="145">
        <v>2.9</v>
      </c>
      <c r="G87" s="145">
        <v>3</v>
      </c>
      <c r="H87" s="145">
        <v>3</v>
      </c>
      <c r="I87" s="145">
        <v>2.8</v>
      </c>
      <c r="J87" s="145">
        <v>2.8</v>
      </c>
      <c r="K87" s="146">
        <v>2.8</v>
      </c>
    </row>
    <row r="88" spans="2:17" x14ac:dyDescent="0.25">
      <c r="B88" s="137"/>
      <c r="C88" s="138"/>
      <c r="D88" s="143"/>
      <c r="E88" s="144" t="s">
        <v>44</v>
      </c>
      <c r="F88" s="145">
        <v>15.8</v>
      </c>
      <c r="G88" s="145">
        <v>15.8</v>
      </c>
      <c r="H88" s="145">
        <v>15.6</v>
      </c>
      <c r="I88" s="145">
        <v>16</v>
      </c>
      <c r="J88" s="145">
        <v>15.9</v>
      </c>
      <c r="K88" s="146">
        <v>15.7</v>
      </c>
    </row>
    <row r="89" spans="2:17" ht="15.75" thickBot="1" x14ac:dyDescent="0.3">
      <c r="B89" s="137"/>
      <c r="C89" s="138"/>
      <c r="D89" s="149"/>
      <c r="E89" s="155" t="s">
        <v>13</v>
      </c>
      <c r="F89" s="156">
        <f t="shared" ref="F89:K89" si="16">F85-0.025</f>
        <v>1.8500000000000012</v>
      </c>
      <c r="G89" s="156">
        <f t="shared" si="16"/>
        <v>1.8500000000000012</v>
      </c>
      <c r="H89" s="156">
        <f t="shared" si="16"/>
        <v>1.8500000000000012</v>
      </c>
      <c r="I89" s="156">
        <f t="shared" si="16"/>
        <v>1.8500000000000012</v>
      </c>
      <c r="J89" s="156">
        <f t="shared" si="16"/>
        <v>1.8500000000000012</v>
      </c>
      <c r="K89" s="156">
        <f t="shared" si="16"/>
        <v>1.8500000000000012</v>
      </c>
    </row>
    <row r="90" spans="2:17" x14ac:dyDescent="0.25">
      <c r="B90" s="137">
        <v>19</v>
      </c>
      <c r="C90" s="138">
        <v>0.72916666666666663</v>
      </c>
      <c r="D90" s="139">
        <f>D86+1</f>
        <v>43666</v>
      </c>
      <c r="E90" s="140" t="s">
        <v>9</v>
      </c>
      <c r="F90" s="141">
        <v>3.2</v>
      </c>
      <c r="G90" s="141">
        <v>3</v>
      </c>
      <c r="H90" s="141">
        <v>2.95</v>
      </c>
      <c r="I90" s="141">
        <v>5</v>
      </c>
      <c r="J90" s="141">
        <v>4.7</v>
      </c>
      <c r="K90" s="142">
        <v>5</v>
      </c>
    </row>
    <row r="91" spans="2:17" x14ac:dyDescent="0.25">
      <c r="B91" s="137"/>
      <c r="C91" s="138"/>
      <c r="D91" s="143"/>
      <c r="E91" s="144" t="s">
        <v>10</v>
      </c>
      <c r="F91" s="145">
        <v>2.9</v>
      </c>
      <c r="G91" s="145">
        <v>3</v>
      </c>
      <c r="H91" s="145">
        <v>2.9</v>
      </c>
      <c r="I91" s="145">
        <v>2.8</v>
      </c>
      <c r="J91" s="145">
        <v>2.9</v>
      </c>
      <c r="K91" s="146">
        <v>2.8</v>
      </c>
    </row>
    <row r="92" spans="2:17" x14ac:dyDescent="0.25">
      <c r="B92" s="137"/>
      <c r="C92" s="138"/>
      <c r="D92" s="143"/>
      <c r="E92" s="144" t="s">
        <v>44</v>
      </c>
      <c r="F92" s="145">
        <v>15.8</v>
      </c>
      <c r="G92" s="145">
        <v>15.8</v>
      </c>
      <c r="H92" s="145">
        <v>15.6</v>
      </c>
      <c r="I92" s="145">
        <v>16</v>
      </c>
      <c r="J92" s="145">
        <v>15.9</v>
      </c>
      <c r="K92" s="146">
        <v>15.7</v>
      </c>
    </row>
    <row r="93" spans="2:17" ht="15.75" thickBot="1" x14ac:dyDescent="0.3">
      <c r="B93" s="137"/>
      <c r="C93" s="138"/>
      <c r="D93" s="149"/>
      <c r="E93" s="155" t="s">
        <v>13</v>
      </c>
      <c r="F93" s="156">
        <f t="shared" ref="F93:K93" si="17">F89-0.025</f>
        <v>1.8250000000000013</v>
      </c>
      <c r="G93" s="156">
        <f t="shared" si="17"/>
        <v>1.8250000000000013</v>
      </c>
      <c r="H93" s="156">
        <f t="shared" si="17"/>
        <v>1.8250000000000013</v>
      </c>
      <c r="I93" s="156">
        <f t="shared" si="17"/>
        <v>1.8250000000000013</v>
      </c>
      <c r="J93" s="156">
        <f t="shared" si="17"/>
        <v>1.8250000000000013</v>
      </c>
      <c r="K93" s="156">
        <f t="shared" si="17"/>
        <v>1.8250000000000013</v>
      </c>
    </row>
    <row r="94" spans="2:17" x14ac:dyDescent="0.25">
      <c r="B94" s="160">
        <v>20</v>
      </c>
      <c r="C94" s="138">
        <v>0.72916666666666663</v>
      </c>
      <c r="D94" s="139">
        <f>D90+1</f>
        <v>43667</v>
      </c>
      <c r="E94" s="140" t="s">
        <v>9</v>
      </c>
      <c r="F94" s="141">
        <v>3.2</v>
      </c>
      <c r="G94" s="141">
        <v>3</v>
      </c>
      <c r="H94" s="141">
        <v>2.9</v>
      </c>
      <c r="I94" s="141">
        <v>4.95</v>
      </c>
      <c r="J94" s="141">
        <v>4.7</v>
      </c>
      <c r="K94" s="142">
        <v>4.9000000000000004</v>
      </c>
    </row>
    <row r="95" spans="2:17" x14ac:dyDescent="0.25">
      <c r="B95" s="160"/>
      <c r="C95" s="138"/>
      <c r="D95" s="143"/>
      <c r="E95" s="144" t="s">
        <v>10</v>
      </c>
      <c r="F95" s="145">
        <v>2.9</v>
      </c>
      <c r="G95" s="145">
        <v>3</v>
      </c>
      <c r="H95" s="145">
        <v>2.9</v>
      </c>
      <c r="I95" s="145">
        <v>2.8</v>
      </c>
      <c r="J95" s="145">
        <v>2.9</v>
      </c>
      <c r="K95" s="146">
        <v>2.8</v>
      </c>
    </row>
    <row r="96" spans="2:17" x14ac:dyDescent="0.25">
      <c r="B96" s="160"/>
      <c r="C96" s="138"/>
      <c r="D96" s="143"/>
      <c r="E96" s="144" t="s">
        <v>44</v>
      </c>
      <c r="F96" s="145">
        <v>15.8</v>
      </c>
      <c r="G96" s="145">
        <v>15.8</v>
      </c>
      <c r="H96" s="145">
        <v>15.6</v>
      </c>
      <c r="I96" s="145">
        <v>16</v>
      </c>
      <c r="J96" s="145">
        <v>15.9</v>
      </c>
      <c r="K96" s="146">
        <v>15.7</v>
      </c>
    </row>
    <row r="97" spans="2:11" ht="15.75" thickBot="1" x14ac:dyDescent="0.3">
      <c r="B97" s="160"/>
      <c r="C97" s="138"/>
      <c r="D97" s="149"/>
      <c r="E97" s="155" t="s">
        <v>13</v>
      </c>
      <c r="F97" s="156">
        <f t="shared" ref="F97:K97" si="18">F93-0.025</f>
        <v>1.8000000000000014</v>
      </c>
      <c r="G97" s="156">
        <f t="shared" si="18"/>
        <v>1.8000000000000014</v>
      </c>
      <c r="H97" s="156">
        <f t="shared" si="18"/>
        <v>1.8000000000000014</v>
      </c>
      <c r="I97" s="156">
        <f t="shared" si="18"/>
        <v>1.8000000000000014</v>
      </c>
      <c r="J97" s="156">
        <f t="shared" si="18"/>
        <v>1.8000000000000014</v>
      </c>
      <c r="K97" s="156">
        <f t="shared" si="18"/>
        <v>1.8000000000000014</v>
      </c>
    </row>
    <row r="99" spans="2:11" x14ac:dyDescent="0.25">
      <c r="B99" s="117"/>
    </row>
    <row r="100" spans="2:11" x14ac:dyDescent="0.25">
      <c r="B100" s="117"/>
    </row>
    <row r="101" spans="2:11" x14ac:dyDescent="0.25">
      <c r="B101" s="117"/>
    </row>
    <row r="102" spans="2:11" x14ac:dyDescent="0.25">
      <c r="B102" s="117"/>
    </row>
    <row r="103" spans="2:11" x14ac:dyDescent="0.25">
      <c r="B103" s="117"/>
    </row>
    <row r="104" spans="2:11" x14ac:dyDescent="0.25">
      <c r="B104" s="117"/>
    </row>
    <row r="105" spans="2:11" x14ac:dyDescent="0.25">
      <c r="B105" s="117"/>
    </row>
    <row r="106" spans="2:11" x14ac:dyDescent="0.25">
      <c r="B106" s="117"/>
    </row>
    <row r="107" spans="2:11" x14ac:dyDescent="0.25">
      <c r="B107" s="117"/>
    </row>
    <row r="108" spans="2:11" x14ac:dyDescent="0.25">
      <c r="B108" s="117"/>
    </row>
    <row r="109" spans="2:11" x14ac:dyDescent="0.25">
      <c r="B109" s="117"/>
    </row>
    <row r="110" spans="2:11" x14ac:dyDescent="0.25">
      <c r="B110" s="117"/>
    </row>
    <row r="111" spans="2:11" x14ac:dyDescent="0.25">
      <c r="B111" s="117"/>
    </row>
    <row r="112" spans="2:11" x14ac:dyDescent="0.25">
      <c r="B112" s="117"/>
    </row>
    <row r="113" spans="2:2" x14ac:dyDescent="0.25">
      <c r="B113" s="117"/>
    </row>
    <row r="114" spans="2:2" x14ac:dyDescent="0.25">
      <c r="B114" s="117"/>
    </row>
    <row r="115" spans="2:2" x14ac:dyDescent="0.25">
      <c r="B115" s="117"/>
    </row>
    <row r="116" spans="2:2" x14ac:dyDescent="0.25">
      <c r="B116" s="117"/>
    </row>
    <row r="117" spans="2:2" x14ac:dyDescent="0.25">
      <c r="B117" s="117"/>
    </row>
    <row r="118" spans="2:2" x14ac:dyDescent="0.25">
      <c r="B118" s="117"/>
    </row>
    <row r="119" spans="2:2" x14ac:dyDescent="0.25">
      <c r="B119" s="117"/>
    </row>
    <row r="120" spans="2:2" x14ac:dyDescent="0.25">
      <c r="B120" s="117"/>
    </row>
    <row r="121" spans="2:2" x14ac:dyDescent="0.25">
      <c r="B121" s="117"/>
    </row>
    <row r="122" spans="2:2" x14ac:dyDescent="0.25">
      <c r="B122" s="117"/>
    </row>
    <row r="123" spans="2:2" x14ac:dyDescent="0.25">
      <c r="B123" s="117"/>
    </row>
    <row r="124" spans="2:2" x14ac:dyDescent="0.25">
      <c r="B124" s="117"/>
    </row>
    <row r="125" spans="2:2" x14ac:dyDescent="0.25">
      <c r="B125" s="117"/>
    </row>
    <row r="126" spans="2:2" x14ac:dyDescent="0.25">
      <c r="B126" s="117"/>
    </row>
    <row r="127" spans="2:2" x14ac:dyDescent="0.25">
      <c r="B127" s="117"/>
    </row>
    <row r="129" spans="2:20" x14ac:dyDescent="0.25">
      <c r="B129" s="117"/>
    </row>
    <row r="130" spans="2:20" x14ac:dyDescent="0.25">
      <c r="B130" s="117"/>
    </row>
    <row r="131" spans="2:20" x14ac:dyDescent="0.25">
      <c r="B131" s="117"/>
    </row>
    <row r="132" spans="2:20" x14ac:dyDescent="0.25">
      <c r="B132" s="117"/>
    </row>
    <row r="133" spans="2:20" x14ac:dyDescent="0.25">
      <c r="B133" s="117"/>
    </row>
    <row r="137" spans="2:20" s="79" customFormat="1" x14ac:dyDescent="0.25">
      <c r="B137" s="78"/>
    </row>
    <row r="138" spans="2:20" s="79" customFormat="1" x14ac:dyDescent="0.25">
      <c r="B138" s="78"/>
    </row>
    <row r="139" spans="2:20" ht="15.75" thickBot="1" x14ac:dyDescent="0.3"/>
    <row r="140" spans="2:20" x14ac:dyDescent="0.25">
      <c r="C140" s="127" t="s">
        <v>39</v>
      </c>
      <c r="D140" s="128"/>
    </row>
    <row r="141" spans="2:20" ht="15.75" thickBot="1" x14ac:dyDescent="0.3">
      <c r="C141" s="28" t="s">
        <v>40</v>
      </c>
      <c r="D141" s="29">
        <v>43667</v>
      </c>
    </row>
    <row r="142" spans="2:20" ht="15.75" thickBot="1" x14ac:dyDescent="0.3">
      <c r="M142" s="123">
        <v>3.35</v>
      </c>
      <c r="N142" s="124"/>
      <c r="O142" s="124"/>
      <c r="P142" s="124"/>
      <c r="Q142" s="124"/>
      <c r="R142" s="124"/>
      <c r="S142" s="124"/>
      <c r="T142" s="80"/>
    </row>
    <row r="143" spans="2:20" ht="15.75" thickBot="1" x14ac:dyDescent="0.3">
      <c r="D143" s="19"/>
      <c r="E143" s="20" t="s">
        <v>14</v>
      </c>
      <c r="F143" s="21" t="s">
        <v>15</v>
      </c>
      <c r="G143" s="21" t="s">
        <v>16</v>
      </c>
      <c r="H143" s="21" t="s">
        <v>17</v>
      </c>
      <c r="I143" s="21" t="s">
        <v>18</v>
      </c>
      <c r="J143" s="21" t="s">
        <v>19</v>
      </c>
      <c r="K143" s="21" t="s">
        <v>19</v>
      </c>
      <c r="L143" s="21" t="s">
        <v>20</v>
      </c>
      <c r="M143" s="31">
        <v>3.25</v>
      </c>
      <c r="N143" s="27" t="s">
        <v>15</v>
      </c>
      <c r="O143" s="27" t="s">
        <v>16</v>
      </c>
      <c r="P143" s="27" t="s">
        <v>17</v>
      </c>
      <c r="Q143" s="27" t="s">
        <v>18</v>
      </c>
      <c r="R143" s="27" t="s">
        <v>19</v>
      </c>
      <c r="S143" s="27" t="s">
        <v>19</v>
      </c>
      <c r="T143" s="27"/>
    </row>
    <row r="144" spans="2:20" ht="15.75" thickBot="1" x14ac:dyDescent="0.3">
      <c r="C144" s="22" t="s">
        <v>21</v>
      </c>
      <c r="D144" s="22" t="s">
        <v>22</v>
      </c>
      <c r="E144" s="23" t="s">
        <v>23</v>
      </c>
      <c r="F144" s="23" t="s">
        <v>24</v>
      </c>
      <c r="G144" s="23" t="s">
        <v>24</v>
      </c>
      <c r="H144" s="23" t="s">
        <v>24</v>
      </c>
      <c r="I144" s="23" t="s">
        <v>25</v>
      </c>
      <c r="J144" s="23" t="s">
        <v>9</v>
      </c>
      <c r="K144" s="23" t="s">
        <v>10</v>
      </c>
      <c r="L144" s="23" t="s">
        <v>25</v>
      </c>
      <c r="M144" s="33">
        <v>3</v>
      </c>
      <c r="N144" s="23" t="s">
        <v>24</v>
      </c>
      <c r="O144" s="23" t="s">
        <v>24</v>
      </c>
      <c r="P144" s="23" t="s">
        <v>24</v>
      </c>
      <c r="Q144" s="23" t="s">
        <v>25</v>
      </c>
      <c r="R144" s="23" t="s">
        <v>9</v>
      </c>
      <c r="S144" s="23" t="s">
        <v>10</v>
      </c>
      <c r="T144" s="23"/>
    </row>
    <row r="145" spans="2:20" x14ac:dyDescent="0.25">
      <c r="C145" s="129">
        <v>2</v>
      </c>
      <c r="D145" s="24" t="s">
        <v>3</v>
      </c>
      <c r="E145" s="23" t="s">
        <v>26</v>
      </c>
      <c r="F145" s="25">
        <f>(F146*L145)/L146</f>
        <v>3.75</v>
      </c>
      <c r="G145" s="16">
        <f>80*L145</f>
        <v>200</v>
      </c>
      <c r="H145" s="23">
        <v>565</v>
      </c>
      <c r="I145" s="23">
        <f t="shared" ref="I145:I150" si="19">L145*0.2</f>
        <v>0.5</v>
      </c>
      <c r="J145" s="23">
        <v>3.75</v>
      </c>
      <c r="K145" s="23">
        <v>2.75</v>
      </c>
      <c r="L145" s="23">
        <v>2.5</v>
      </c>
      <c r="M145" s="33" t="s">
        <v>26</v>
      </c>
      <c r="N145" s="34">
        <f t="shared" ref="N145:S150" si="20">F145/$L145</f>
        <v>1.5</v>
      </c>
      <c r="O145" s="34">
        <f t="shared" si="20"/>
        <v>80</v>
      </c>
      <c r="P145" s="34">
        <f t="shared" si="20"/>
        <v>226</v>
      </c>
      <c r="Q145" s="34">
        <f t="shared" si="20"/>
        <v>0.2</v>
      </c>
      <c r="R145" s="34">
        <f t="shared" si="20"/>
        <v>1.5</v>
      </c>
      <c r="S145" s="34">
        <f t="shared" si="20"/>
        <v>1.1000000000000001</v>
      </c>
      <c r="T145" s="34"/>
    </row>
    <row r="146" spans="2:20" x14ac:dyDescent="0.25">
      <c r="C146" s="130"/>
      <c r="D146" s="11" t="s">
        <v>4</v>
      </c>
      <c r="E146" s="23" t="s">
        <v>27</v>
      </c>
      <c r="F146" s="23">
        <v>3</v>
      </c>
      <c r="G146" s="16">
        <f>80*L146</f>
        <v>160</v>
      </c>
      <c r="H146" s="23">
        <v>827</v>
      </c>
      <c r="I146" s="23">
        <f t="shared" si="19"/>
        <v>0.4</v>
      </c>
      <c r="J146" s="23">
        <v>3.65</v>
      </c>
      <c r="K146" s="23">
        <v>2.85</v>
      </c>
      <c r="L146" s="23">
        <v>2</v>
      </c>
      <c r="M146" s="33" t="s">
        <v>27</v>
      </c>
      <c r="N146" s="34">
        <f t="shared" si="20"/>
        <v>1.5</v>
      </c>
      <c r="O146" s="34">
        <f t="shared" si="20"/>
        <v>80</v>
      </c>
      <c r="P146" s="34">
        <f t="shared" si="20"/>
        <v>413.5</v>
      </c>
      <c r="Q146" s="34">
        <f t="shared" si="20"/>
        <v>0.2</v>
      </c>
      <c r="R146" s="34">
        <f t="shared" si="20"/>
        <v>1.825</v>
      </c>
      <c r="S146" s="34">
        <f t="shared" si="20"/>
        <v>1.425</v>
      </c>
      <c r="T146" s="34"/>
    </row>
    <row r="147" spans="2:20" x14ac:dyDescent="0.25">
      <c r="C147" s="130"/>
      <c r="D147" s="11" t="s">
        <v>5</v>
      </c>
      <c r="E147" s="23" t="s">
        <v>28</v>
      </c>
      <c r="F147" s="25">
        <v>3.75</v>
      </c>
      <c r="G147" s="16">
        <f>100*L147</f>
        <v>250</v>
      </c>
      <c r="H147" s="23">
        <v>560</v>
      </c>
      <c r="I147" s="23">
        <f t="shared" si="19"/>
        <v>0.5</v>
      </c>
      <c r="J147" s="23">
        <v>3.8</v>
      </c>
      <c r="K147" s="23">
        <v>2.8</v>
      </c>
      <c r="L147" s="25">
        <v>2.5</v>
      </c>
      <c r="M147" s="33" t="s">
        <v>28</v>
      </c>
      <c r="N147" s="34">
        <f t="shared" si="20"/>
        <v>1.5</v>
      </c>
      <c r="O147" s="34">
        <f t="shared" si="20"/>
        <v>100</v>
      </c>
      <c r="P147" s="34">
        <f t="shared" si="20"/>
        <v>224</v>
      </c>
      <c r="Q147" s="34">
        <f t="shared" si="20"/>
        <v>0.2</v>
      </c>
      <c r="R147" s="34">
        <f t="shared" si="20"/>
        <v>1.52</v>
      </c>
      <c r="S147" s="34">
        <f t="shared" si="20"/>
        <v>1.1199999999999999</v>
      </c>
      <c r="T147" s="34"/>
    </row>
    <row r="148" spans="2:20" x14ac:dyDescent="0.25">
      <c r="C148" s="130"/>
      <c r="D148" s="11" t="s">
        <v>6</v>
      </c>
      <c r="E148" s="23" t="s">
        <v>26</v>
      </c>
      <c r="F148" s="23">
        <v>4.5</v>
      </c>
      <c r="G148" s="16">
        <f>100*L148</f>
        <v>300</v>
      </c>
      <c r="H148" s="23">
        <v>1060</v>
      </c>
      <c r="I148" s="23">
        <f t="shared" si="19"/>
        <v>0.60000000000000009</v>
      </c>
      <c r="J148" s="23">
        <v>3.75</v>
      </c>
      <c r="K148" s="23">
        <v>2.75</v>
      </c>
      <c r="L148" s="23">
        <v>3</v>
      </c>
      <c r="M148" s="33" t="s">
        <v>26</v>
      </c>
      <c r="N148" s="34">
        <f t="shared" si="20"/>
        <v>1.5</v>
      </c>
      <c r="O148" s="34">
        <f t="shared" si="20"/>
        <v>100</v>
      </c>
      <c r="P148" s="34">
        <f t="shared" si="20"/>
        <v>353.33333333333331</v>
      </c>
      <c r="Q148" s="34">
        <f t="shared" si="20"/>
        <v>0.20000000000000004</v>
      </c>
      <c r="R148" s="34">
        <f t="shared" si="20"/>
        <v>1.25</v>
      </c>
      <c r="S148" s="34">
        <f t="shared" si="20"/>
        <v>0.91666666666666663</v>
      </c>
      <c r="T148" s="34"/>
    </row>
    <row r="149" spans="2:20" x14ac:dyDescent="0.25">
      <c r="C149" s="130"/>
      <c r="D149" s="11" t="s">
        <v>7</v>
      </c>
      <c r="E149" s="23" t="s">
        <v>27</v>
      </c>
      <c r="F149" s="23">
        <v>3</v>
      </c>
      <c r="G149" s="16">
        <f>100*L149</f>
        <v>200</v>
      </c>
      <c r="H149" s="23">
        <v>804</v>
      </c>
      <c r="I149" s="23">
        <f t="shared" si="19"/>
        <v>0.4</v>
      </c>
      <c r="J149" s="23">
        <v>3.65</v>
      </c>
      <c r="K149" s="23">
        <v>2.85</v>
      </c>
      <c r="L149" s="23">
        <v>2</v>
      </c>
      <c r="M149" s="33" t="s">
        <v>27</v>
      </c>
      <c r="N149" s="34">
        <f t="shared" si="20"/>
        <v>1.5</v>
      </c>
      <c r="O149" s="34">
        <f t="shared" si="20"/>
        <v>100</v>
      </c>
      <c r="P149" s="34">
        <f t="shared" si="20"/>
        <v>402</v>
      </c>
      <c r="Q149" s="34">
        <f t="shared" si="20"/>
        <v>0.2</v>
      </c>
      <c r="R149" s="34">
        <f t="shared" si="20"/>
        <v>1.825</v>
      </c>
      <c r="S149" s="34">
        <f t="shared" si="20"/>
        <v>1.425</v>
      </c>
      <c r="T149" s="34"/>
    </row>
    <row r="150" spans="2:20" ht="15.75" thickBot="1" x14ac:dyDescent="0.3">
      <c r="C150" s="130"/>
      <c r="D150" s="11" t="s">
        <v>8</v>
      </c>
      <c r="E150" s="23" t="s">
        <v>28</v>
      </c>
      <c r="F150" s="23">
        <v>4.5</v>
      </c>
      <c r="G150" s="16">
        <f>L150*80</f>
        <v>240</v>
      </c>
      <c r="H150" s="23">
        <v>960</v>
      </c>
      <c r="I150" s="23">
        <f t="shared" si="19"/>
        <v>0.60000000000000009</v>
      </c>
      <c r="J150" s="23">
        <v>3.8</v>
      </c>
      <c r="K150" s="23">
        <v>2.8</v>
      </c>
      <c r="L150" s="25">
        <v>3</v>
      </c>
      <c r="M150" s="35" t="s">
        <v>28</v>
      </c>
      <c r="N150" s="34">
        <f t="shared" si="20"/>
        <v>1.5</v>
      </c>
      <c r="O150" s="34">
        <f t="shared" si="20"/>
        <v>80</v>
      </c>
      <c r="P150" s="34">
        <f t="shared" si="20"/>
        <v>320</v>
      </c>
      <c r="Q150" s="34">
        <f t="shared" si="20"/>
        <v>0.20000000000000004</v>
      </c>
      <c r="R150" s="34">
        <f t="shared" si="20"/>
        <v>1.2666666666666666</v>
      </c>
      <c r="S150" s="34">
        <f t="shared" si="20"/>
        <v>0.93333333333333324</v>
      </c>
      <c r="T150" s="34"/>
    </row>
    <row r="152" spans="2:20" ht="15.75" thickBot="1" x14ac:dyDescent="0.3"/>
    <row r="153" spans="2:20" ht="15.75" thickBot="1" x14ac:dyDescent="0.3">
      <c r="C153" s="81" t="s">
        <v>42</v>
      </c>
      <c r="F153" s="132" t="s">
        <v>47</v>
      </c>
      <c r="G153" s="133"/>
      <c r="H153" s="133"/>
      <c r="I153" s="133"/>
      <c r="J153" s="133"/>
      <c r="K153" s="134"/>
    </row>
    <row r="154" spans="2:20" ht="15.75" thickBot="1" x14ac:dyDescent="0.3">
      <c r="D154" s="2" t="s">
        <v>1</v>
      </c>
      <c r="E154" s="3" t="s">
        <v>2</v>
      </c>
      <c r="F154" s="4" t="s">
        <v>3</v>
      </c>
      <c r="G154" s="5" t="s">
        <v>4</v>
      </c>
      <c r="H154" s="5" t="s">
        <v>5</v>
      </c>
      <c r="I154" s="5" t="s">
        <v>6</v>
      </c>
      <c r="J154" s="5" t="s">
        <v>7</v>
      </c>
      <c r="K154" s="6" t="s">
        <v>8</v>
      </c>
    </row>
    <row r="155" spans="2:20" x14ac:dyDescent="0.25">
      <c r="B155" s="118">
        <v>1</v>
      </c>
      <c r="C155" s="119">
        <v>0.75</v>
      </c>
      <c r="D155" s="120">
        <v>43668</v>
      </c>
      <c r="E155" s="8" t="s">
        <v>9</v>
      </c>
      <c r="F155" s="9">
        <v>8.25</v>
      </c>
      <c r="G155" s="9">
        <v>6.5</v>
      </c>
      <c r="H155" s="9">
        <v>8.8000000000000007</v>
      </c>
      <c r="I155" s="9">
        <v>8.5</v>
      </c>
      <c r="J155" s="9">
        <v>8.8000000000000007</v>
      </c>
      <c r="K155" s="10">
        <v>7.15</v>
      </c>
    </row>
    <row r="156" spans="2:20" x14ac:dyDescent="0.25">
      <c r="B156" s="118"/>
      <c r="C156" s="119"/>
      <c r="D156" s="121"/>
      <c r="E156" s="11" t="s">
        <v>10</v>
      </c>
      <c r="F156" s="12">
        <v>3.7</v>
      </c>
      <c r="G156" s="12">
        <v>3.1</v>
      </c>
      <c r="H156" s="12">
        <v>3.5</v>
      </c>
      <c r="I156" s="12">
        <v>3.6</v>
      </c>
      <c r="J156" s="12">
        <v>3.3</v>
      </c>
      <c r="K156" s="13">
        <v>3.6</v>
      </c>
    </row>
    <row r="157" spans="2:20" x14ac:dyDescent="0.25">
      <c r="B157" s="118"/>
      <c r="C157" s="119"/>
      <c r="D157" s="121"/>
      <c r="E157" s="16" t="s">
        <v>12</v>
      </c>
      <c r="F157" s="12">
        <v>17.5</v>
      </c>
      <c r="G157" s="12">
        <v>17.399999999999999</v>
      </c>
      <c r="H157" s="12">
        <v>17.8</v>
      </c>
      <c r="I157" s="12">
        <v>17.8</v>
      </c>
      <c r="J157" s="12">
        <v>17.3</v>
      </c>
      <c r="K157" s="13">
        <v>17.8</v>
      </c>
    </row>
    <row r="158" spans="2:20" ht="15.75" thickBot="1" x14ac:dyDescent="0.3">
      <c r="B158" s="118"/>
      <c r="C158" s="119"/>
      <c r="D158" s="122"/>
      <c r="E158" s="17" t="s">
        <v>13</v>
      </c>
      <c r="F158">
        <v>3</v>
      </c>
      <c r="G158">
        <v>2.4</v>
      </c>
      <c r="H158">
        <v>3</v>
      </c>
      <c r="I158">
        <v>3.6</v>
      </c>
      <c r="J158">
        <v>2.4</v>
      </c>
      <c r="K158">
        <v>3.6</v>
      </c>
      <c r="M158">
        <v>3</v>
      </c>
    </row>
    <row r="159" spans="2:20" x14ac:dyDescent="0.25">
      <c r="B159" s="118">
        <f>B155+1</f>
        <v>2</v>
      </c>
      <c r="C159" s="119">
        <v>0.75</v>
      </c>
      <c r="D159" s="120">
        <f>D155+1</f>
        <v>43669</v>
      </c>
      <c r="E159" s="8" t="s">
        <v>9</v>
      </c>
      <c r="F159" s="9">
        <v>8.3000000000000007</v>
      </c>
      <c r="G159" s="9">
        <v>6.65</v>
      </c>
      <c r="H159" s="9">
        <v>8.8000000000000007</v>
      </c>
      <c r="I159" s="9">
        <v>8.8000000000000007</v>
      </c>
      <c r="J159" s="9">
        <v>8.9</v>
      </c>
      <c r="K159" s="10">
        <v>7.25</v>
      </c>
      <c r="M159">
        <v>2.4</v>
      </c>
    </row>
    <row r="160" spans="2:20" x14ac:dyDescent="0.25">
      <c r="B160" s="118"/>
      <c r="C160" s="119"/>
      <c r="D160" s="121"/>
      <c r="E160" s="11" t="s">
        <v>10</v>
      </c>
      <c r="F160" s="12">
        <v>3.6</v>
      </c>
      <c r="G160" s="12">
        <v>3.1</v>
      </c>
      <c r="H160" s="12">
        <v>3.4</v>
      </c>
      <c r="I160" s="12">
        <v>3.9</v>
      </c>
      <c r="J160" s="12">
        <v>3.3</v>
      </c>
      <c r="K160" s="13">
        <v>3.6</v>
      </c>
      <c r="M160">
        <v>3</v>
      </c>
    </row>
    <row r="161" spans="2:13" x14ac:dyDescent="0.25">
      <c r="B161" s="118"/>
      <c r="C161" s="119"/>
      <c r="D161" s="121"/>
      <c r="E161" s="16" t="s">
        <v>12</v>
      </c>
      <c r="F161" s="12">
        <v>18</v>
      </c>
      <c r="G161" s="12">
        <v>19.100000000000001</v>
      </c>
      <c r="H161" s="12">
        <v>19.899999999999999</v>
      </c>
      <c r="I161" s="12">
        <v>18.5</v>
      </c>
      <c r="J161" s="12">
        <v>18.3</v>
      </c>
      <c r="K161" s="13">
        <v>18.399999999999999</v>
      </c>
      <c r="M161">
        <v>3.6</v>
      </c>
    </row>
    <row r="162" spans="2:13" ht="15.75" thickBot="1" x14ac:dyDescent="0.3">
      <c r="B162" s="118"/>
      <c r="C162" s="119"/>
      <c r="D162" s="122"/>
      <c r="E162" s="17" t="s">
        <v>13</v>
      </c>
      <c r="F162" s="18">
        <f>F158-0.025</f>
        <v>2.9750000000000001</v>
      </c>
      <c r="G162" s="18">
        <f>G158-0.025</f>
        <v>2.375</v>
      </c>
      <c r="H162" s="18">
        <f>H158-0.025</f>
        <v>2.9750000000000001</v>
      </c>
      <c r="I162" s="18">
        <f>I158-0.025</f>
        <v>3.5750000000000002</v>
      </c>
      <c r="J162" s="18">
        <f>J158-0.025</f>
        <v>2.375</v>
      </c>
      <c r="K162" s="18">
        <f>K158-0.025</f>
        <v>3.5750000000000002</v>
      </c>
      <c r="M162">
        <v>2.4</v>
      </c>
    </row>
    <row r="163" spans="2:13" x14ac:dyDescent="0.25">
      <c r="B163" s="118">
        <f>B159+1</f>
        <v>3</v>
      </c>
      <c r="C163" s="119">
        <v>0.63888888888888895</v>
      </c>
      <c r="D163" s="120">
        <f>D159+1</f>
        <v>43670</v>
      </c>
      <c r="E163" s="8" t="s">
        <v>9</v>
      </c>
      <c r="F163" s="9">
        <v>8.1999999999999993</v>
      </c>
      <c r="G163" s="9">
        <v>6.5</v>
      </c>
      <c r="H163" s="9">
        <v>8.75</v>
      </c>
      <c r="I163" s="9">
        <v>8.9</v>
      </c>
      <c r="J163" s="9">
        <v>8.9</v>
      </c>
      <c r="K163" s="10">
        <v>7.3</v>
      </c>
      <c r="M163">
        <v>3.6</v>
      </c>
    </row>
    <row r="164" spans="2:13" x14ac:dyDescent="0.25">
      <c r="B164" s="118"/>
      <c r="C164" s="119"/>
      <c r="D164" s="121"/>
      <c r="E164" s="11" t="s">
        <v>10</v>
      </c>
      <c r="F164" s="12">
        <v>3.4</v>
      </c>
      <c r="G164" s="12">
        <v>3</v>
      </c>
      <c r="H164" s="12">
        <v>3.3</v>
      </c>
      <c r="I164" s="12">
        <v>3.7</v>
      </c>
      <c r="J164" s="12">
        <v>3.3</v>
      </c>
      <c r="K164" s="13">
        <v>3.5</v>
      </c>
      <c r="M164">
        <v>2.9750000000000001</v>
      </c>
    </row>
    <row r="165" spans="2:13" x14ac:dyDescent="0.25">
      <c r="B165" s="118"/>
      <c r="C165" s="119"/>
      <c r="D165" s="121"/>
      <c r="E165" s="16" t="s">
        <v>12</v>
      </c>
      <c r="F165" s="12">
        <v>18.3</v>
      </c>
      <c r="G165" s="12">
        <v>19.8</v>
      </c>
      <c r="H165" s="12">
        <v>20.9</v>
      </c>
      <c r="I165" s="12">
        <v>19.600000000000001</v>
      </c>
      <c r="J165" s="12">
        <v>18.899999999999999</v>
      </c>
      <c r="K165" s="13">
        <v>19.3</v>
      </c>
      <c r="M165">
        <v>2.375</v>
      </c>
    </row>
    <row r="166" spans="2:13" ht="15.75" thickBot="1" x14ac:dyDescent="0.3">
      <c r="B166" s="118"/>
      <c r="C166" s="119"/>
      <c r="D166" s="122"/>
      <c r="E166" s="17" t="s">
        <v>13</v>
      </c>
      <c r="F166" s="18">
        <f>F162-0.025</f>
        <v>2.95</v>
      </c>
      <c r="G166" s="18">
        <f>G162-0.025</f>
        <v>2.35</v>
      </c>
      <c r="H166" s="18">
        <f>H162-0.025</f>
        <v>2.95</v>
      </c>
      <c r="I166" s="18">
        <f>I162-0.025</f>
        <v>3.5500000000000003</v>
      </c>
      <c r="J166" s="18">
        <f>J162-0.025</f>
        <v>2.35</v>
      </c>
      <c r="K166" s="18">
        <f>K162-0.025</f>
        <v>3.5500000000000003</v>
      </c>
      <c r="M166">
        <v>2.9750000000000001</v>
      </c>
    </row>
    <row r="167" spans="2:13" x14ac:dyDescent="0.25">
      <c r="B167" s="118">
        <f>B163+1</f>
        <v>4</v>
      </c>
      <c r="C167" s="119">
        <v>0.79166666666666663</v>
      </c>
      <c r="D167" s="120">
        <f>D163+1</f>
        <v>43671</v>
      </c>
      <c r="E167" s="8" t="s">
        <v>9</v>
      </c>
      <c r="F167" s="9">
        <v>8.1999999999999993</v>
      </c>
      <c r="G167" s="9">
        <v>6.3</v>
      </c>
      <c r="H167" s="9">
        <v>8.6999999999999993</v>
      </c>
      <c r="I167" s="9">
        <v>8.9</v>
      </c>
      <c r="J167" s="9">
        <v>8.9</v>
      </c>
      <c r="K167" s="10">
        <v>7.2</v>
      </c>
      <c r="M167">
        <v>3.5750000000000002</v>
      </c>
    </row>
    <row r="168" spans="2:13" x14ac:dyDescent="0.25">
      <c r="B168" s="118"/>
      <c r="C168" s="119"/>
      <c r="D168" s="121"/>
      <c r="E168" s="11" t="s">
        <v>10</v>
      </c>
      <c r="F168" s="12">
        <v>3.4</v>
      </c>
      <c r="G168" s="12">
        <v>2.9</v>
      </c>
      <c r="H168" s="12">
        <v>3.3</v>
      </c>
      <c r="I168" s="12">
        <v>3.6</v>
      </c>
      <c r="J168" s="12">
        <v>3.2</v>
      </c>
      <c r="K168" s="13">
        <v>3.4</v>
      </c>
      <c r="M168">
        <v>2.375</v>
      </c>
    </row>
    <row r="169" spans="2:13" x14ac:dyDescent="0.25">
      <c r="B169" s="118"/>
      <c r="C169" s="119"/>
      <c r="D169" s="121"/>
      <c r="E169" s="16" t="s">
        <v>12</v>
      </c>
      <c r="F169" s="12">
        <v>18.7</v>
      </c>
      <c r="G169" s="12">
        <v>20.5</v>
      </c>
      <c r="H169" s="12">
        <v>21.3</v>
      </c>
      <c r="I169" s="12">
        <v>19.2</v>
      </c>
      <c r="J169" s="12">
        <v>19.3</v>
      </c>
      <c r="K169" s="13">
        <v>20.100000000000001</v>
      </c>
      <c r="M169">
        <v>3.5750000000000002</v>
      </c>
    </row>
    <row r="170" spans="2:13" ht="15.75" thickBot="1" x14ac:dyDescent="0.3">
      <c r="B170" s="118"/>
      <c r="C170" s="119"/>
      <c r="D170" s="122"/>
      <c r="E170" s="17" t="s">
        <v>13</v>
      </c>
      <c r="F170" s="18">
        <f>F166-0.025</f>
        <v>2.9250000000000003</v>
      </c>
      <c r="G170" s="18">
        <f>G166-0.025</f>
        <v>2.3250000000000002</v>
      </c>
      <c r="H170" s="18">
        <f>H166-0.025</f>
        <v>2.9250000000000003</v>
      </c>
      <c r="I170" s="18">
        <f>I166-0.025</f>
        <v>3.5250000000000004</v>
      </c>
      <c r="J170" s="18">
        <f>J166-0.025</f>
        <v>2.3250000000000002</v>
      </c>
      <c r="K170" s="18">
        <f>K166-0.025</f>
        <v>3.5250000000000004</v>
      </c>
      <c r="M170">
        <v>2.95</v>
      </c>
    </row>
    <row r="171" spans="2:13" x14ac:dyDescent="0.25">
      <c r="B171" s="118">
        <f>B167+1</f>
        <v>5</v>
      </c>
      <c r="C171" s="119">
        <v>0.60416666666666663</v>
      </c>
      <c r="D171" s="120">
        <f>D167+1</f>
        <v>43672</v>
      </c>
      <c r="E171" s="8" t="s">
        <v>9</v>
      </c>
      <c r="F171" s="9">
        <v>8</v>
      </c>
      <c r="G171" s="9">
        <v>6.1</v>
      </c>
      <c r="H171" s="9">
        <v>8.5</v>
      </c>
      <c r="I171" s="9">
        <v>8.75</v>
      </c>
      <c r="J171" s="9">
        <v>8.6999999999999993</v>
      </c>
      <c r="K171" s="10">
        <v>7</v>
      </c>
      <c r="M171">
        <v>2.35</v>
      </c>
    </row>
    <row r="172" spans="2:13" x14ac:dyDescent="0.25">
      <c r="B172" s="118"/>
      <c r="C172" s="119"/>
      <c r="D172" s="121"/>
      <c r="E172" s="11" t="s">
        <v>10</v>
      </c>
      <c r="F172" s="12">
        <v>3.3</v>
      </c>
      <c r="G172" s="12">
        <v>2.8</v>
      </c>
      <c r="H172" s="12">
        <v>3.1</v>
      </c>
      <c r="I172" s="12">
        <v>3.5</v>
      </c>
      <c r="J172" s="12">
        <v>3.1</v>
      </c>
      <c r="K172" s="13">
        <v>3.3</v>
      </c>
      <c r="M172">
        <v>2.95</v>
      </c>
    </row>
    <row r="173" spans="2:13" x14ac:dyDescent="0.25">
      <c r="B173" s="118"/>
      <c r="C173" s="119"/>
      <c r="D173" s="121"/>
      <c r="E173" s="16" t="s">
        <v>12</v>
      </c>
      <c r="F173" s="12">
        <v>18.600000000000001</v>
      </c>
      <c r="G173" s="12">
        <v>20.2</v>
      </c>
      <c r="H173" s="12">
        <v>20.399999999999999</v>
      </c>
      <c r="I173" s="12">
        <v>19.100000000000001</v>
      </c>
      <c r="J173" s="12">
        <v>19.100000000000001</v>
      </c>
      <c r="K173" s="13">
        <v>19.5</v>
      </c>
      <c r="M173">
        <v>3.5500000000000003</v>
      </c>
    </row>
    <row r="174" spans="2:13" ht="15.75" thickBot="1" x14ac:dyDescent="0.3">
      <c r="B174" s="118"/>
      <c r="C174" s="119"/>
      <c r="D174" s="122"/>
      <c r="E174" s="17" t="s">
        <v>13</v>
      </c>
      <c r="F174" s="18">
        <f>F170-0.025</f>
        <v>2.9000000000000004</v>
      </c>
      <c r="G174" s="18">
        <f>G170-0.025</f>
        <v>2.3000000000000003</v>
      </c>
      <c r="H174" s="18">
        <f>H170-0.025</f>
        <v>2.9000000000000004</v>
      </c>
      <c r="I174" s="18">
        <f>I170-0.025</f>
        <v>3.5000000000000004</v>
      </c>
      <c r="J174" s="18">
        <f>J170-0.025</f>
        <v>2.3000000000000003</v>
      </c>
      <c r="K174" s="18">
        <f>K170-0.025</f>
        <v>3.5000000000000004</v>
      </c>
      <c r="M174">
        <v>2.35</v>
      </c>
    </row>
    <row r="175" spans="2:13" x14ac:dyDescent="0.25">
      <c r="B175" s="118">
        <f>B171+1</f>
        <v>6</v>
      </c>
      <c r="C175" s="119">
        <v>0.72916666666666663</v>
      </c>
      <c r="D175" s="120">
        <f>D171+1</f>
        <v>43673</v>
      </c>
      <c r="E175" s="8" t="s">
        <v>9</v>
      </c>
      <c r="F175" s="9">
        <v>8</v>
      </c>
      <c r="G175" s="9">
        <v>6.05</v>
      </c>
      <c r="H175" s="9">
        <v>8.4</v>
      </c>
      <c r="I175" s="9">
        <v>8.8000000000000007</v>
      </c>
      <c r="J175" s="9">
        <v>8.65</v>
      </c>
      <c r="K175" s="10">
        <v>7</v>
      </c>
      <c r="M175">
        <v>3.5500000000000003</v>
      </c>
    </row>
    <row r="176" spans="2:13" x14ac:dyDescent="0.25">
      <c r="B176" s="118"/>
      <c r="C176" s="119"/>
      <c r="D176" s="121"/>
      <c r="E176" s="11" t="s">
        <v>10</v>
      </c>
      <c r="F176" s="12">
        <v>3.3</v>
      </c>
      <c r="G176" s="12">
        <v>2.8</v>
      </c>
      <c r="H176" s="12">
        <v>3.1</v>
      </c>
      <c r="I176" s="12">
        <v>3.4</v>
      </c>
      <c r="J176" s="12">
        <v>3.1</v>
      </c>
      <c r="K176" s="13">
        <v>3.3</v>
      </c>
      <c r="M176">
        <v>2.9250000000000003</v>
      </c>
    </row>
    <row r="177" spans="2:13" x14ac:dyDescent="0.25">
      <c r="B177" s="118"/>
      <c r="C177" s="119"/>
      <c r="D177" s="121"/>
      <c r="E177" s="16" t="s">
        <v>12</v>
      </c>
      <c r="F177" s="12">
        <v>19.5</v>
      </c>
      <c r="G177" s="12">
        <v>20.6</v>
      </c>
      <c r="H177" s="12">
        <v>20.9</v>
      </c>
      <c r="I177" s="12">
        <v>19.100000000000001</v>
      </c>
      <c r="J177" s="12">
        <v>19.600000000000001</v>
      </c>
      <c r="K177" s="13">
        <v>19.5</v>
      </c>
      <c r="M177">
        <v>2.3250000000000002</v>
      </c>
    </row>
    <row r="178" spans="2:13" ht="15.75" thickBot="1" x14ac:dyDescent="0.3">
      <c r="B178" s="118"/>
      <c r="C178" s="119"/>
      <c r="D178" s="122"/>
      <c r="E178" s="17" t="s">
        <v>13</v>
      </c>
      <c r="F178" s="18">
        <f>F174-0.025</f>
        <v>2.8750000000000004</v>
      </c>
      <c r="G178" s="18">
        <f>G174-0.025</f>
        <v>2.2750000000000004</v>
      </c>
      <c r="H178" s="18">
        <f>H174-0.025</f>
        <v>2.8750000000000004</v>
      </c>
      <c r="I178" s="18">
        <f>I174-0.025</f>
        <v>3.4750000000000005</v>
      </c>
      <c r="J178" s="18">
        <f>J174-0.025</f>
        <v>2.2750000000000004</v>
      </c>
      <c r="K178" s="18">
        <f>K174-0.025</f>
        <v>3.4750000000000005</v>
      </c>
      <c r="M178">
        <v>2.9250000000000003</v>
      </c>
    </row>
    <row r="179" spans="2:13" x14ac:dyDescent="0.25">
      <c r="B179" s="118">
        <f>B175+1</f>
        <v>7</v>
      </c>
      <c r="C179" s="119">
        <v>0.77083333333333337</v>
      </c>
      <c r="D179" s="120">
        <f>D175+1</f>
        <v>43674</v>
      </c>
      <c r="E179" s="8" t="s">
        <v>9</v>
      </c>
      <c r="F179" s="9">
        <v>8</v>
      </c>
      <c r="G179" s="9">
        <v>6.1</v>
      </c>
      <c r="H179" s="9">
        <v>8.4</v>
      </c>
      <c r="I179" s="9">
        <v>8.6</v>
      </c>
      <c r="J179" s="9">
        <v>8.6</v>
      </c>
      <c r="K179" s="10">
        <v>6.6</v>
      </c>
      <c r="M179">
        <v>3.5250000000000004</v>
      </c>
    </row>
    <row r="180" spans="2:13" x14ac:dyDescent="0.25">
      <c r="B180" s="118"/>
      <c r="C180" s="119"/>
      <c r="D180" s="121"/>
      <c r="E180" s="11" t="s">
        <v>10</v>
      </c>
      <c r="F180" s="12">
        <v>3.2</v>
      </c>
      <c r="G180" s="12">
        <v>2.75</v>
      </c>
      <c r="H180" s="12">
        <v>3</v>
      </c>
      <c r="I180" s="12">
        <v>3.4</v>
      </c>
      <c r="J180" s="12">
        <v>3.1</v>
      </c>
      <c r="K180" s="13">
        <v>3.2</v>
      </c>
      <c r="M180">
        <v>2.3250000000000002</v>
      </c>
    </row>
    <row r="181" spans="2:13" x14ac:dyDescent="0.25">
      <c r="B181" s="118"/>
      <c r="C181" s="119"/>
      <c r="D181" s="121"/>
      <c r="E181" s="16" t="s">
        <v>12</v>
      </c>
      <c r="F181" s="12">
        <v>19.600000000000001</v>
      </c>
      <c r="G181" s="12">
        <v>20.5</v>
      </c>
      <c r="H181" s="12">
        <v>20.8</v>
      </c>
      <c r="I181" s="12">
        <v>20</v>
      </c>
      <c r="J181" s="12">
        <v>19.5</v>
      </c>
      <c r="K181" s="13">
        <v>19.899999999999999</v>
      </c>
      <c r="M181">
        <v>3.5250000000000004</v>
      </c>
    </row>
    <row r="182" spans="2:13" ht="15.75" thickBot="1" x14ac:dyDescent="0.3">
      <c r="B182" s="118"/>
      <c r="C182" s="119"/>
      <c r="D182" s="122"/>
      <c r="E182" s="17" t="s">
        <v>13</v>
      </c>
      <c r="F182" s="18">
        <f>F178-0.025</f>
        <v>2.8500000000000005</v>
      </c>
      <c r="G182" s="18">
        <f>G178-0.025</f>
        <v>2.2500000000000004</v>
      </c>
      <c r="H182" s="18">
        <f>H178-0.025</f>
        <v>2.8500000000000005</v>
      </c>
      <c r="I182" s="18">
        <f>I178-0.025</f>
        <v>3.4500000000000006</v>
      </c>
      <c r="J182" s="18">
        <f>J178-0.025</f>
        <v>2.2500000000000004</v>
      </c>
      <c r="K182" s="18">
        <f>K178-0.025</f>
        <v>3.4500000000000006</v>
      </c>
      <c r="M182">
        <v>2.9000000000000004</v>
      </c>
    </row>
    <row r="183" spans="2:13" x14ac:dyDescent="0.25">
      <c r="B183" s="118">
        <f>B179+1</f>
        <v>8</v>
      </c>
      <c r="C183" s="119">
        <v>0.72916666666666663</v>
      </c>
      <c r="D183" s="120">
        <f>D179+1</f>
        <v>43675</v>
      </c>
      <c r="E183" s="8" t="s">
        <v>9</v>
      </c>
      <c r="F183" s="9">
        <v>7.8</v>
      </c>
      <c r="G183" s="9">
        <v>6</v>
      </c>
      <c r="H183" s="9">
        <v>8.3000000000000007</v>
      </c>
      <c r="I183" s="9">
        <v>8.6</v>
      </c>
      <c r="J183" s="9">
        <v>8.4</v>
      </c>
      <c r="K183" s="10">
        <v>6.35</v>
      </c>
      <c r="M183">
        <v>2.3000000000000003</v>
      </c>
    </row>
    <row r="184" spans="2:13" x14ac:dyDescent="0.25">
      <c r="B184" s="118"/>
      <c r="C184" s="119"/>
      <c r="D184" s="121"/>
      <c r="E184" s="11" t="s">
        <v>10</v>
      </c>
      <c r="F184" s="12">
        <v>3.2</v>
      </c>
      <c r="G184" s="12">
        <v>2.7</v>
      </c>
      <c r="H184" s="12">
        <v>2.9</v>
      </c>
      <c r="I184" s="12">
        <v>3.3</v>
      </c>
      <c r="J184" s="12">
        <v>3</v>
      </c>
      <c r="K184" s="13">
        <v>3</v>
      </c>
      <c r="M184">
        <v>2.9000000000000004</v>
      </c>
    </row>
    <row r="185" spans="2:13" x14ac:dyDescent="0.25">
      <c r="B185" s="118"/>
      <c r="C185" s="119"/>
      <c r="D185" s="121"/>
      <c r="E185" s="16" t="s">
        <v>12</v>
      </c>
      <c r="F185" s="12">
        <v>19.8</v>
      </c>
      <c r="G185" s="12">
        <v>20.9</v>
      </c>
      <c r="H185" s="12">
        <v>20.9</v>
      </c>
      <c r="I185" s="12">
        <v>20.5</v>
      </c>
      <c r="J185" s="12">
        <v>20</v>
      </c>
      <c r="K185" s="13">
        <v>20.399999999999999</v>
      </c>
      <c r="M185">
        <v>3.5000000000000004</v>
      </c>
    </row>
    <row r="186" spans="2:13" ht="15.75" thickBot="1" x14ac:dyDescent="0.3">
      <c r="B186" s="118"/>
      <c r="C186" s="119"/>
      <c r="D186" s="122"/>
      <c r="E186" s="17" t="s">
        <v>13</v>
      </c>
      <c r="F186" s="18">
        <f>F182-0.025</f>
        <v>2.8250000000000006</v>
      </c>
      <c r="G186" s="18">
        <f>G182-0.025</f>
        <v>2.2250000000000005</v>
      </c>
      <c r="H186" s="18">
        <f>H182-0.025</f>
        <v>2.8250000000000006</v>
      </c>
      <c r="I186" s="18">
        <f>I182-0.025</f>
        <v>3.4250000000000007</v>
      </c>
      <c r="J186" s="18">
        <f>J182-0.025</f>
        <v>2.2250000000000005</v>
      </c>
      <c r="K186" s="18">
        <f>K182-0.025</f>
        <v>3.4250000000000007</v>
      </c>
      <c r="M186">
        <v>2.3000000000000003</v>
      </c>
    </row>
    <row r="187" spans="2:13" x14ac:dyDescent="0.25">
      <c r="B187" s="118">
        <f>B183+1</f>
        <v>9</v>
      </c>
      <c r="C187" s="119">
        <v>0.79166666666666663</v>
      </c>
      <c r="D187" s="120">
        <f>D183+1</f>
        <v>43676</v>
      </c>
      <c r="E187" s="8" t="s">
        <v>9</v>
      </c>
      <c r="F187" s="9">
        <v>7.85</v>
      </c>
      <c r="G187" s="9">
        <v>6</v>
      </c>
      <c r="H187" s="9">
        <v>8.3000000000000007</v>
      </c>
      <c r="I187" s="9">
        <v>8.6999999999999993</v>
      </c>
      <c r="J187" s="9">
        <v>8.5</v>
      </c>
      <c r="K187" s="10">
        <v>6.15</v>
      </c>
      <c r="M187">
        <v>3.5000000000000004</v>
      </c>
    </row>
    <row r="188" spans="2:13" x14ac:dyDescent="0.25">
      <c r="B188" s="118"/>
      <c r="C188" s="119"/>
      <c r="D188" s="121"/>
      <c r="E188" s="11" t="s">
        <v>10</v>
      </c>
      <c r="F188" s="12">
        <v>3.1</v>
      </c>
      <c r="G188" s="12">
        <v>2.7</v>
      </c>
      <c r="H188" s="12">
        <v>2.9</v>
      </c>
      <c r="I188" s="12">
        <v>3.3</v>
      </c>
      <c r="J188" s="12">
        <v>3</v>
      </c>
      <c r="K188" s="13">
        <v>3</v>
      </c>
      <c r="M188">
        <v>2.8750000000000004</v>
      </c>
    </row>
    <row r="189" spans="2:13" x14ac:dyDescent="0.25">
      <c r="B189" s="118"/>
      <c r="C189" s="119"/>
      <c r="D189" s="121"/>
      <c r="E189" s="16" t="s">
        <v>12</v>
      </c>
      <c r="F189" s="12">
        <v>19.8</v>
      </c>
      <c r="G189" s="12">
        <v>20.9</v>
      </c>
      <c r="H189" s="12">
        <v>20.9</v>
      </c>
      <c r="I189" s="12">
        <v>20.5</v>
      </c>
      <c r="J189" s="12">
        <v>20</v>
      </c>
      <c r="K189" s="13">
        <v>20.399999999999999</v>
      </c>
      <c r="M189">
        <v>2.2750000000000004</v>
      </c>
    </row>
    <row r="190" spans="2:13" ht="15.75" thickBot="1" x14ac:dyDescent="0.3">
      <c r="B190" s="118"/>
      <c r="C190" s="119"/>
      <c r="D190" s="122"/>
      <c r="E190" s="17" t="s">
        <v>13</v>
      </c>
      <c r="F190" s="18">
        <f>F186-0.025</f>
        <v>2.8000000000000007</v>
      </c>
      <c r="G190" s="18">
        <f>G186-0.025</f>
        <v>2.2000000000000006</v>
      </c>
      <c r="H190" s="18">
        <f>H186-0.025</f>
        <v>2.8000000000000007</v>
      </c>
      <c r="I190" s="18">
        <f>I186-0.025</f>
        <v>3.4000000000000008</v>
      </c>
      <c r="J190" s="18">
        <f>J186-0.025</f>
        <v>2.2000000000000006</v>
      </c>
      <c r="K190" s="18">
        <f>K186-0.025</f>
        <v>3.4000000000000008</v>
      </c>
      <c r="M190">
        <v>2.8750000000000004</v>
      </c>
    </row>
    <row r="191" spans="2:13" x14ac:dyDescent="0.25">
      <c r="B191" s="118">
        <f>B187+1</f>
        <v>10</v>
      </c>
      <c r="C191" s="119">
        <v>0.79166666666666663</v>
      </c>
      <c r="D191" s="120">
        <f>D187+1</f>
        <v>43677</v>
      </c>
      <c r="E191" s="8" t="s">
        <v>9</v>
      </c>
      <c r="F191" s="9">
        <v>7.65</v>
      </c>
      <c r="G191" s="9">
        <v>6</v>
      </c>
      <c r="H191" s="9">
        <v>8.0500000000000007</v>
      </c>
      <c r="I191" s="9">
        <v>8.5</v>
      </c>
      <c r="J191" s="9">
        <v>8.25</v>
      </c>
      <c r="K191" s="10">
        <v>5.95</v>
      </c>
      <c r="M191">
        <v>3.4750000000000005</v>
      </c>
    </row>
    <row r="192" spans="2:13" x14ac:dyDescent="0.25">
      <c r="B192" s="118"/>
      <c r="C192" s="119"/>
      <c r="D192" s="121"/>
      <c r="E192" s="11" t="s">
        <v>10</v>
      </c>
      <c r="F192" s="12">
        <v>3</v>
      </c>
      <c r="G192" s="12">
        <v>2.7</v>
      </c>
      <c r="H192" s="12">
        <v>2.8</v>
      </c>
      <c r="I192" s="12">
        <v>3.2</v>
      </c>
      <c r="J192" s="12">
        <v>2.9</v>
      </c>
      <c r="K192" s="13">
        <v>2.9</v>
      </c>
      <c r="M192">
        <v>2.2750000000000004</v>
      </c>
    </row>
    <row r="193" spans="2:13" x14ac:dyDescent="0.25">
      <c r="B193" s="118"/>
      <c r="C193" s="119"/>
      <c r="D193" s="121"/>
      <c r="E193" s="16" t="s">
        <v>12</v>
      </c>
      <c r="F193" s="12">
        <v>19.8</v>
      </c>
      <c r="G193" s="12">
        <v>20.9</v>
      </c>
      <c r="H193" s="12">
        <v>20.9</v>
      </c>
      <c r="I193" s="12">
        <v>20.5</v>
      </c>
      <c r="J193" s="12">
        <v>20</v>
      </c>
      <c r="K193" s="13">
        <v>20.399999999999999</v>
      </c>
      <c r="M193">
        <v>3.4750000000000005</v>
      </c>
    </row>
    <row r="194" spans="2:13" ht="15.75" thickBot="1" x14ac:dyDescent="0.3">
      <c r="B194" s="118"/>
      <c r="C194" s="119"/>
      <c r="D194" s="122"/>
      <c r="E194" s="17" t="s">
        <v>13</v>
      </c>
      <c r="F194" s="18">
        <f>F190-0.025</f>
        <v>2.7750000000000008</v>
      </c>
      <c r="G194" s="18">
        <f>G190-0.025</f>
        <v>2.1750000000000007</v>
      </c>
      <c r="H194" s="18">
        <f>H190-0.025</f>
        <v>2.7750000000000008</v>
      </c>
      <c r="I194" s="18">
        <f>I190-0.025</f>
        <v>3.3750000000000009</v>
      </c>
      <c r="J194" s="18">
        <f>J190-0.025</f>
        <v>2.1750000000000007</v>
      </c>
      <c r="K194" s="18">
        <f>K190-0.025</f>
        <v>3.3750000000000009</v>
      </c>
      <c r="M194">
        <v>2.8500000000000005</v>
      </c>
    </row>
    <row r="195" spans="2:13" x14ac:dyDescent="0.25">
      <c r="B195" s="118">
        <f>B191+1</f>
        <v>11</v>
      </c>
      <c r="C195" s="119">
        <v>0.79166666666666663</v>
      </c>
      <c r="D195" s="120">
        <f>D191+1</f>
        <v>43678</v>
      </c>
      <c r="E195" s="8" t="s">
        <v>9</v>
      </c>
      <c r="F195" s="9">
        <v>7.6</v>
      </c>
      <c r="G195" s="9">
        <v>6</v>
      </c>
      <c r="H195" s="9">
        <v>7.8</v>
      </c>
      <c r="I195" s="9">
        <v>8.4</v>
      </c>
      <c r="J195" s="9">
        <v>8.0500000000000007</v>
      </c>
      <c r="K195" s="10">
        <v>5.65</v>
      </c>
      <c r="M195">
        <v>2.2500000000000004</v>
      </c>
    </row>
    <row r="196" spans="2:13" x14ac:dyDescent="0.25">
      <c r="B196" s="118"/>
      <c r="C196" s="119"/>
      <c r="D196" s="121"/>
      <c r="E196" s="11" t="s">
        <v>10</v>
      </c>
      <c r="F196" s="12">
        <v>3</v>
      </c>
      <c r="G196" s="12">
        <v>2.6</v>
      </c>
      <c r="H196" s="12">
        <v>2.7</v>
      </c>
      <c r="I196" s="12">
        <v>3.2</v>
      </c>
      <c r="J196" s="12">
        <v>2.9</v>
      </c>
      <c r="K196" s="13">
        <v>2.9</v>
      </c>
      <c r="M196">
        <v>2.8500000000000005</v>
      </c>
    </row>
    <row r="197" spans="2:13" x14ac:dyDescent="0.25">
      <c r="B197" s="118"/>
      <c r="C197" s="119"/>
      <c r="D197" s="121"/>
      <c r="E197" s="16" t="s">
        <v>12</v>
      </c>
      <c r="F197" s="12">
        <v>19.5</v>
      </c>
      <c r="G197" s="12">
        <v>20.6</v>
      </c>
      <c r="H197" s="12">
        <v>20.9</v>
      </c>
      <c r="I197" s="12">
        <v>19.100000000000001</v>
      </c>
      <c r="J197" s="12">
        <v>19.600000000000001</v>
      </c>
      <c r="K197" s="13">
        <v>19.5</v>
      </c>
      <c r="M197">
        <v>3.4500000000000006</v>
      </c>
    </row>
    <row r="198" spans="2:13" ht="15.75" thickBot="1" x14ac:dyDescent="0.3">
      <c r="B198" s="118"/>
      <c r="C198" s="119"/>
      <c r="D198" s="122"/>
      <c r="E198" s="17" t="s">
        <v>13</v>
      </c>
      <c r="F198" s="18">
        <f>F194-0.025</f>
        <v>2.7500000000000009</v>
      </c>
      <c r="G198" s="18">
        <f>G194-0.025</f>
        <v>2.1500000000000008</v>
      </c>
      <c r="H198" s="18">
        <f>H194-0.025</f>
        <v>2.7500000000000009</v>
      </c>
      <c r="I198" s="18">
        <f>I194-0.025</f>
        <v>3.350000000000001</v>
      </c>
      <c r="J198" s="18">
        <f>J194-0.025</f>
        <v>2.1500000000000008</v>
      </c>
      <c r="K198" s="18">
        <f>K194-0.025</f>
        <v>3.350000000000001</v>
      </c>
      <c r="M198">
        <v>2.2500000000000004</v>
      </c>
    </row>
    <row r="199" spans="2:13" x14ac:dyDescent="0.25">
      <c r="B199" s="118">
        <f>B195+1</f>
        <v>12</v>
      </c>
      <c r="C199" s="119">
        <v>0.79166666666666663</v>
      </c>
      <c r="D199" s="120">
        <f>D195+1</f>
        <v>43679</v>
      </c>
      <c r="E199" s="8" t="s">
        <v>9</v>
      </c>
      <c r="F199" s="9">
        <v>7.3</v>
      </c>
      <c r="G199" s="9">
        <v>6</v>
      </c>
      <c r="H199" s="9">
        <v>7.6</v>
      </c>
      <c r="I199" s="9">
        <v>8.35</v>
      </c>
      <c r="J199" s="9">
        <v>7.85</v>
      </c>
      <c r="K199" s="10">
        <v>5.65</v>
      </c>
      <c r="M199">
        <v>3.4500000000000006</v>
      </c>
    </row>
    <row r="200" spans="2:13" x14ac:dyDescent="0.25">
      <c r="B200" s="118"/>
      <c r="C200" s="119"/>
      <c r="D200" s="121"/>
      <c r="E200" s="11" t="s">
        <v>10</v>
      </c>
      <c r="F200" s="12">
        <v>2.9</v>
      </c>
      <c r="G200" s="12">
        <v>2.6</v>
      </c>
      <c r="H200" s="12">
        <v>2.7</v>
      </c>
      <c r="I200" s="12">
        <v>3.2</v>
      </c>
      <c r="J200" s="12">
        <v>2.8</v>
      </c>
      <c r="K200" s="13">
        <v>2.8</v>
      </c>
      <c r="M200">
        <v>2.8250000000000006</v>
      </c>
    </row>
    <row r="201" spans="2:13" x14ac:dyDescent="0.25">
      <c r="B201" s="118"/>
      <c r="C201" s="119"/>
      <c r="D201" s="121"/>
      <c r="E201" s="16" t="s">
        <v>12</v>
      </c>
      <c r="F201" s="12">
        <v>19.5</v>
      </c>
      <c r="G201" s="12">
        <v>20.6</v>
      </c>
      <c r="H201" s="12">
        <v>20.9</v>
      </c>
      <c r="I201" s="12">
        <v>19.100000000000001</v>
      </c>
      <c r="J201" s="12">
        <v>19.600000000000001</v>
      </c>
      <c r="K201" s="13">
        <v>19.5</v>
      </c>
      <c r="M201">
        <v>2.2250000000000005</v>
      </c>
    </row>
    <row r="202" spans="2:13" ht="15.75" thickBot="1" x14ac:dyDescent="0.3">
      <c r="B202" s="118"/>
      <c r="C202" s="119"/>
      <c r="D202" s="122"/>
      <c r="E202" s="17" t="s">
        <v>13</v>
      </c>
      <c r="F202" s="18">
        <f>F198-0.025</f>
        <v>2.725000000000001</v>
      </c>
      <c r="G202" s="18">
        <f>G198-0.025</f>
        <v>2.1250000000000009</v>
      </c>
      <c r="H202" s="18">
        <f>H198-0.025</f>
        <v>2.725000000000001</v>
      </c>
      <c r="I202" s="18">
        <f>I198-0.025</f>
        <v>3.3250000000000011</v>
      </c>
      <c r="J202" s="18">
        <f>J198-0.025</f>
        <v>2.1250000000000009</v>
      </c>
      <c r="K202" s="18">
        <f>K198-0.025</f>
        <v>3.3250000000000011</v>
      </c>
      <c r="M202">
        <v>2.8250000000000006</v>
      </c>
    </row>
    <row r="203" spans="2:13" x14ac:dyDescent="0.25">
      <c r="B203" s="118">
        <f>B199+1</f>
        <v>13</v>
      </c>
      <c r="C203" s="119">
        <v>0.77083333333333337</v>
      </c>
      <c r="D203" s="120">
        <f>D199+1</f>
        <v>43680</v>
      </c>
      <c r="E203" s="8" t="s">
        <v>9</v>
      </c>
      <c r="F203" s="9">
        <v>7.3</v>
      </c>
      <c r="G203" s="9">
        <v>6</v>
      </c>
      <c r="H203" s="9">
        <v>7.85</v>
      </c>
      <c r="I203" s="9">
        <v>8.3000000000000007</v>
      </c>
      <c r="J203" s="9">
        <v>7.8</v>
      </c>
      <c r="K203" s="10">
        <v>5.6</v>
      </c>
      <c r="M203">
        <v>3.4250000000000007</v>
      </c>
    </row>
    <row r="204" spans="2:13" x14ac:dyDescent="0.25">
      <c r="B204" s="118"/>
      <c r="C204" s="119"/>
      <c r="D204" s="121"/>
      <c r="E204" s="11" t="s">
        <v>10</v>
      </c>
      <c r="F204" s="12">
        <v>2.9</v>
      </c>
      <c r="G204" s="12">
        <v>2.6</v>
      </c>
      <c r="H204" s="12">
        <v>2.7</v>
      </c>
      <c r="I204" s="12">
        <v>3.1</v>
      </c>
      <c r="J204" s="12">
        <v>2.8</v>
      </c>
      <c r="K204" s="13">
        <v>2.8</v>
      </c>
      <c r="M204">
        <v>2.2250000000000005</v>
      </c>
    </row>
    <row r="205" spans="2:13" x14ac:dyDescent="0.25">
      <c r="B205" s="118"/>
      <c r="C205" s="119"/>
      <c r="D205" s="121"/>
      <c r="E205" s="16" t="s">
        <v>12</v>
      </c>
      <c r="F205" s="12">
        <v>19.5</v>
      </c>
      <c r="G205" s="12">
        <v>20.6</v>
      </c>
      <c r="H205" s="12">
        <v>20.9</v>
      </c>
      <c r="I205" s="12">
        <v>19.100000000000001</v>
      </c>
      <c r="J205" s="12">
        <v>19.600000000000001</v>
      </c>
      <c r="K205" s="13">
        <v>19.5</v>
      </c>
      <c r="M205">
        <v>3.4250000000000007</v>
      </c>
    </row>
    <row r="206" spans="2:13" ht="15.75" thickBot="1" x14ac:dyDescent="0.3">
      <c r="B206" s="118"/>
      <c r="C206" s="119"/>
      <c r="D206" s="122"/>
      <c r="E206" s="17" t="s">
        <v>13</v>
      </c>
      <c r="F206" s="18">
        <f>F202-0.025</f>
        <v>2.7000000000000011</v>
      </c>
      <c r="G206" s="18">
        <f>G202-0.025</f>
        <v>2.100000000000001</v>
      </c>
      <c r="H206" s="18">
        <f>H202-0.025</f>
        <v>2.7000000000000011</v>
      </c>
      <c r="I206" s="18">
        <f>I202-0.025</f>
        <v>3.3000000000000012</v>
      </c>
      <c r="J206" s="18">
        <f>J202-0.025</f>
        <v>2.100000000000001</v>
      </c>
      <c r="K206" s="18">
        <f>K202-0.025</f>
        <v>3.3000000000000012</v>
      </c>
      <c r="M206">
        <v>2.8000000000000007</v>
      </c>
    </row>
    <row r="207" spans="2:13" x14ac:dyDescent="0.25">
      <c r="B207" s="118">
        <f>B203+1</f>
        <v>14</v>
      </c>
      <c r="C207" s="119">
        <v>0.77083333333333337</v>
      </c>
      <c r="D207" s="120">
        <f>D203+1</f>
        <v>43681</v>
      </c>
      <c r="E207" s="8" t="s">
        <v>9</v>
      </c>
      <c r="F207" s="40">
        <v>7</v>
      </c>
      <c r="G207" s="40">
        <v>6</v>
      </c>
      <c r="H207" s="40">
        <v>7.9</v>
      </c>
      <c r="I207" s="82">
        <v>8.4</v>
      </c>
      <c r="J207" s="82">
        <v>7.65</v>
      </c>
      <c r="K207" s="83">
        <v>5.4</v>
      </c>
      <c r="M207">
        <v>2.2000000000000006</v>
      </c>
    </row>
    <row r="208" spans="2:13" x14ac:dyDescent="0.25">
      <c r="B208" s="118"/>
      <c r="C208" s="119"/>
      <c r="D208" s="121"/>
      <c r="E208" s="11" t="s">
        <v>10</v>
      </c>
      <c r="F208" s="53">
        <v>2.8</v>
      </c>
      <c r="G208" s="53">
        <v>2.6</v>
      </c>
      <c r="H208" s="53">
        <v>2.6</v>
      </c>
      <c r="I208" s="84">
        <v>3.1</v>
      </c>
      <c r="J208" s="84">
        <v>2.75</v>
      </c>
      <c r="K208" s="85">
        <v>2.8</v>
      </c>
      <c r="M208">
        <v>2.8000000000000007</v>
      </c>
    </row>
    <row r="209" spans="2:13" x14ac:dyDescent="0.25">
      <c r="B209" s="118"/>
      <c r="C209" s="119"/>
      <c r="D209" s="121"/>
      <c r="E209" s="16" t="s">
        <v>12</v>
      </c>
      <c r="F209" s="12">
        <v>19.5</v>
      </c>
      <c r="G209" s="12">
        <v>20.6</v>
      </c>
      <c r="H209" s="12">
        <v>20.9</v>
      </c>
      <c r="I209" s="12">
        <v>19.100000000000001</v>
      </c>
      <c r="J209" s="12">
        <v>19.600000000000001</v>
      </c>
      <c r="K209" s="13">
        <v>19.5</v>
      </c>
      <c r="M209">
        <v>3.4000000000000008</v>
      </c>
    </row>
    <row r="210" spans="2:13" ht="15.75" thickBot="1" x14ac:dyDescent="0.3">
      <c r="B210" s="118"/>
      <c r="C210" s="119"/>
      <c r="D210" s="122"/>
      <c r="E210" s="17" t="s">
        <v>13</v>
      </c>
      <c r="F210" s="18">
        <f>F206-0.025</f>
        <v>2.6750000000000012</v>
      </c>
      <c r="G210" s="18">
        <f>G206-0.025</f>
        <v>2.0750000000000011</v>
      </c>
      <c r="H210" s="18">
        <f>H206-0.025</f>
        <v>2.6750000000000012</v>
      </c>
      <c r="I210" s="18">
        <f>I206-0.025</f>
        <v>3.2750000000000012</v>
      </c>
      <c r="J210" s="18">
        <f>J206-0.025</f>
        <v>2.0750000000000011</v>
      </c>
      <c r="K210" s="18">
        <f>K206-0.025</f>
        <v>3.2750000000000012</v>
      </c>
      <c r="M210">
        <v>2.2000000000000006</v>
      </c>
    </row>
    <row r="211" spans="2:13" x14ac:dyDescent="0.25">
      <c r="B211" s="118">
        <f>B207+1</f>
        <v>15</v>
      </c>
      <c r="C211" s="119">
        <v>0.77083333333333337</v>
      </c>
      <c r="D211" s="120">
        <f>D207+1</f>
        <v>43682</v>
      </c>
      <c r="E211" s="8" t="s">
        <v>9</v>
      </c>
      <c r="F211" s="40">
        <v>7</v>
      </c>
      <c r="G211" s="40">
        <v>6</v>
      </c>
      <c r="H211" s="40">
        <v>7.8</v>
      </c>
      <c r="I211" s="40">
        <v>8.25</v>
      </c>
      <c r="J211" s="40">
        <v>7.6</v>
      </c>
      <c r="K211" s="41">
        <v>5.5</v>
      </c>
      <c r="M211">
        <v>3.4000000000000008</v>
      </c>
    </row>
    <row r="212" spans="2:13" x14ac:dyDescent="0.25">
      <c r="B212" s="118"/>
      <c r="C212" s="119"/>
      <c r="D212" s="121"/>
      <c r="E212" s="11" t="s">
        <v>10</v>
      </c>
      <c r="F212" s="53">
        <v>2.8</v>
      </c>
      <c r="G212" s="53">
        <v>2.6</v>
      </c>
      <c r="H212" s="53">
        <v>2.6</v>
      </c>
      <c r="I212" s="53">
        <v>3.1</v>
      </c>
      <c r="J212" s="53">
        <v>2.7</v>
      </c>
      <c r="K212" s="54">
        <v>2.8</v>
      </c>
      <c r="M212">
        <v>2.7750000000000008</v>
      </c>
    </row>
    <row r="213" spans="2:13" x14ac:dyDescent="0.25">
      <c r="B213" s="118"/>
      <c r="C213" s="119"/>
      <c r="D213" s="121"/>
      <c r="E213" s="16" t="s">
        <v>12</v>
      </c>
      <c r="F213" s="12">
        <v>19.5</v>
      </c>
      <c r="G213" s="12">
        <v>20.6</v>
      </c>
      <c r="H213" s="12">
        <v>20.9</v>
      </c>
      <c r="I213" s="12">
        <v>19.100000000000001</v>
      </c>
      <c r="J213" s="12">
        <v>19.600000000000001</v>
      </c>
      <c r="K213" s="13">
        <v>19.5</v>
      </c>
      <c r="M213">
        <v>2.1750000000000007</v>
      </c>
    </row>
    <row r="214" spans="2:13" ht="15.75" thickBot="1" x14ac:dyDescent="0.3">
      <c r="B214" s="118"/>
      <c r="C214" s="119"/>
      <c r="D214" s="122"/>
      <c r="E214" s="17" t="s">
        <v>13</v>
      </c>
      <c r="F214" s="18">
        <f>F210-0.025</f>
        <v>2.6500000000000012</v>
      </c>
      <c r="G214" s="18">
        <f>G210-0.025</f>
        <v>2.0500000000000012</v>
      </c>
      <c r="H214" s="18">
        <f>H210-0.025</f>
        <v>2.6500000000000012</v>
      </c>
      <c r="I214" s="18">
        <f>I210-0.025</f>
        <v>3.2500000000000013</v>
      </c>
      <c r="J214" s="18">
        <f>J210-0.025</f>
        <v>2.0500000000000012</v>
      </c>
      <c r="K214" s="18">
        <f>K210-0.025</f>
        <v>3.2500000000000013</v>
      </c>
      <c r="M214">
        <v>2.7750000000000008</v>
      </c>
    </row>
    <row r="215" spans="2:13" x14ac:dyDescent="0.25">
      <c r="B215" s="118">
        <f>B211+1</f>
        <v>16</v>
      </c>
      <c r="C215" s="119">
        <v>0.72916666666666663</v>
      </c>
      <c r="D215" s="120">
        <f>D211+1</f>
        <v>43683</v>
      </c>
      <c r="E215" s="8" t="s">
        <v>9</v>
      </c>
      <c r="F215" s="40">
        <v>6.7</v>
      </c>
      <c r="G215" s="40">
        <v>6</v>
      </c>
      <c r="H215" s="40">
        <v>7.8</v>
      </c>
      <c r="I215" s="40">
        <v>8.3000000000000007</v>
      </c>
      <c r="J215" s="40">
        <v>7.4</v>
      </c>
      <c r="K215" s="41">
        <v>5.5</v>
      </c>
      <c r="M215">
        <v>3.3750000000000009</v>
      </c>
    </row>
    <row r="216" spans="2:13" x14ac:dyDescent="0.25">
      <c r="B216" s="118"/>
      <c r="C216" s="119"/>
      <c r="D216" s="121"/>
      <c r="E216" s="11" t="s">
        <v>10</v>
      </c>
      <c r="F216" s="53">
        <v>2.7</v>
      </c>
      <c r="G216" s="53">
        <v>2.6</v>
      </c>
      <c r="H216" s="53">
        <v>2.6</v>
      </c>
      <c r="I216" s="53">
        <v>3</v>
      </c>
      <c r="J216" s="53">
        <v>2.7</v>
      </c>
      <c r="K216" s="54">
        <v>2.8</v>
      </c>
      <c r="M216">
        <v>2.1750000000000007</v>
      </c>
    </row>
    <row r="217" spans="2:13" x14ac:dyDescent="0.25">
      <c r="B217" s="118"/>
      <c r="C217" s="119"/>
      <c r="D217" s="121"/>
      <c r="E217" s="16" t="s">
        <v>12</v>
      </c>
      <c r="F217" s="12">
        <v>19.5</v>
      </c>
      <c r="G217" s="12">
        <v>20.6</v>
      </c>
      <c r="H217" s="12">
        <v>20.9</v>
      </c>
      <c r="I217" s="12">
        <v>19.100000000000001</v>
      </c>
      <c r="J217" s="12">
        <v>19.600000000000001</v>
      </c>
      <c r="K217" s="13">
        <v>19.5</v>
      </c>
      <c r="M217">
        <v>3.3750000000000009</v>
      </c>
    </row>
    <row r="218" spans="2:13" ht="15.75" thickBot="1" x14ac:dyDescent="0.3">
      <c r="B218" s="118"/>
      <c r="C218" s="119"/>
      <c r="D218" s="122"/>
      <c r="E218" s="17" t="s">
        <v>13</v>
      </c>
      <c r="F218" s="18">
        <f>F214-0.025</f>
        <v>2.6250000000000013</v>
      </c>
      <c r="G218" s="18">
        <f>G214-0.025</f>
        <v>2.0250000000000012</v>
      </c>
      <c r="H218" s="18">
        <f>H214-0.025</f>
        <v>2.6250000000000013</v>
      </c>
      <c r="I218" s="18">
        <f>I214-0.025</f>
        <v>3.2250000000000014</v>
      </c>
      <c r="J218" s="18">
        <f>J214-0.025</f>
        <v>2.0250000000000012</v>
      </c>
      <c r="K218" s="18">
        <f>K214-0.025</f>
        <v>3.2250000000000014</v>
      </c>
      <c r="M218">
        <v>2.7500000000000009</v>
      </c>
    </row>
    <row r="219" spans="2:13" x14ac:dyDescent="0.25">
      <c r="B219" s="118">
        <f>B215+1</f>
        <v>17</v>
      </c>
      <c r="C219" s="119">
        <v>0.77083333333333337</v>
      </c>
      <c r="D219" s="120">
        <f>D215+1</f>
        <v>43684</v>
      </c>
      <c r="E219" s="8" t="s">
        <v>9</v>
      </c>
      <c r="F219" s="40">
        <v>6.7</v>
      </c>
      <c r="G219" s="40">
        <v>5.9</v>
      </c>
      <c r="H219" s="40">
        <v>7.65</v>
      </c>
      <c r="I219" s="40">
        <v>8</v>
      </c>
      <c r="J219" s="40">
        <v>7.25</v>
      </c>
      <c r="K219" s="41">
        <v>5.25</v>
      </c>
      <c r="M219">
        <v>2.1500000000000008</v>
      </c>
    </row>
    <row r="220" spans="2:13" x14ac:dyDescent="0.25">
      <c r="B220" s="118"/>
      <c r="C220" s="119"/>
      <c r="D220" s="121"/>
      <c r="E220" s="11" t="s">
        <v>10</v>
      </c>
      <c r="F220" s="53">
        <v>2.6</v>
      </c>
      <c r="G220" s="53">
        <v>2.5</v>
      </c>
      <c r="H220" s="53">
        <v>2.5</v>
      </c>
      <c r="I220" s="53">
        <v>3</v>
      </c>
      <c r="J220" s="53">
        <v>2.6</v>
      </c>
      <c r="K220" s="54">
        <v>2.8</v>
      </c>
      <c r="M220">
        <v>2.7500000000000009</v>
      </c>
    </row>
    <row r="221" spans="2:13" x14ac:dyDescent="0.25">
      <c r="B221" s="118"/>
      <c r="C221" s="119"/>
      <c r="D221" s="121"/>
      <c r="E221" s="16" t="s">
        <v>12</v>
      </c>
      <c r="F221" s="12">
        <v>19.5</v>
      </c>
      <c r="G221" s="12">
        <v>20.6</v>
      </c>
      <c r="H221" s="12">
        <v>20.9</v>
      </c>
      <c r="I221" s="12">
        <v>19.100000000000001</v>
      </c>
      <c r="J221" s="12">
        <v>19.600000000000001</v>
      </c>
      <c r="K221" s="13">
        <v>19.5</v>
      </c>
      <c r="M221">
        <v>3.350000000000001</v>
      </c>
    </row>
    <row r="222" spans="2:13" ht="15.75" thickBot="1" x14ac:dyDescent="0.3">
      <c r="B222" s="118"/>
      <c r="C222" s="119"/>
      <c r="D222" s="122"/>
      <c r="E222" s="17" t="s">
        <v>13</v>
      </c>
      <c r="F222" s="18">
        <f>F218-0.025</f>
        <v>2.6000000000000014</v>
      </c>
      <c r="G222" s="18">
        <f>G218-0.025</f>
        <v>2.0000000000000013</v>
      </c>
      <c r="H222" s="18">
        <f>H218-0.025</f>
        <v>2.6000000000000014</v>
      </c>
      <c r="I222" s="18">
        <f>I218-0.025</f>
        <v>3.2000000000000015</v>
      </c>
      <c r="J222" s="18">
        <f>J218-0.025</f>
        <v>2.0000000000000013</v>
      </c>
      <c r="K222" s="18">
        <f>K218-0.025</f>
        <v>3.2000000000000015</v>
      </c>
      <c r="M222">
        <v>2.1500000000000008</v>
      </c>
    </row>
    <row r="223" spans="2:13" x14ac:dyDescent="0.25">
      <c r="B223" s="118">
        <f>B219+1</f>
        <v>18</v>
      </c>
      <c r="C223" s="119">
        <v>0.70833333333333337</v>
      </c>
      <c r="D223" s="120">
        <f>D219+1</f>
        <v>43685</v>
      </c>
      <c r="E223" s="8" t="s">
        <v>9</v>
      </c>
      <c r="F223" s="40">
        <v>6.65</v>
      </c>
      <c r="G223" s="40">
        <v>5.9</v>
      </c>
      <c r="H223" s="40">
        <v>7.6</v>
      </c>
      <c r="I223" s="40">
        <v>7.8</v>
      </c>
      <c r="J223" s="40">
        <v>7.15</v>
      </c>
      <c r="K223" s="41">
        <v>5.35</v>
      </c>
      <c r="M223">
        <v>3.350000000000001</v>
      </c>
    </row>
    <row r="224" spans="2:13" x14ac:dyDescent="0.25">
      <c r="B224" s="118"/>
      <c r="C224" s="119"/>
      <c r="D224" s="121"/>
      <c r="E224" s="11" t="s">
        <v>10</v>
      </c>
      <c r="F224" s="53">
        <v>2.6</v>
      </c>
      <c r="G224" s="53">
        <v>2.5</v>
      </c>
      <c r="H224" s="53">
        <v>2.5</v>
      </c>
      <c r="I224" s="53">
        <v>2.9</v>
      </c>
      <c r="J224" s="53">
        <v>2.6</v>
      </c>
      <c r="K224" s="54">
        <v>2.75</v>
      </c>
      <c r="M224">
        <v>2.725000000000001</v>
      </c>
    </row>
    <row r="225" spans="2:13" x14ac:dyDescent="0.25">
      <c r="B225" s="118"/>
      <c r="C225" s="119"/>
      <c r="D225" s="121"/>
      <c r="E225" s="16" t="s">
        <v>12</v>
      </c>
      <c r="F225" s="12">
        <v>19.5</v>
      </c>
      <c r="G225" s="12">
        <v>20.6</v>
      </c>
      <c r="H225" s="12">
        <v>20.9</v>
      </c>
      <c r="I225" s="12">
        <v>19.100000000000001</v>
      </c>
      <c r="J225" s="12">
        <v>19.600000000000001</v>
      </c>
      <c r="K225" s="13">
        <v>19.5</v>
      </c>
      <c r="M225">
        <v>2.1250000000000009</v>
      </c>
    </row>
    <row r="226" spans="2:13" ht="15.75" thickBot="1" x14ac:dyDescent="0.3">
      <c r="B226" s="118"/>
      <c r="C226" s="119"/>
      <c r="D226" s="122"/>
      <c r="E226" s="17" t="s">
        <v>13</v>
      </c>
      <c r="F226" s="18">
        <f>F222-0.025</f>
        <v>2.5750000000000015</v>
      </c>
      <c r="G226" s="18">
        <f>G222-0.025</f>
        <v>1.9750000000000014</v>
      </c>
      <c r="H226" s="18">
        <f>H222-0.025</f>
        <v>2.5750000000000015</v>
      </c>
      <c r="I226" s="18">
        <f>I222-0.025</f>
        <v>3.1750000000000016</v>
      </c>
      <c r="J226" s="18">
        <f>J222-0.025</f>
        <v>1.9750000000000014</v>
      </c>
      <c r="K226" s="18">
        <f>K222-0.025</f>
        <v>3.1750000000000016</v>
      </c>
      <c r="M226">
        <v>2.725000000000001</v>
      </c>
    </row>
    <row r="227" spans="2:13" x14ac:dyDescent="0.25">
      <c r="B227" s="118">
        <f>B223+1</f>
        <v>19</v>
      </c>
      <c r="C227" s="119">
        <v>0.77083333333333337</v>
      </c>
      <c r="D227" s="120">
        <f>D223+1</f>
        <v>43686</v>
      </c>
      <c r="E227" s="8" t="s">
        <v>9</v>
      </c>
      <c r="F227" s="40">
        <v>6.9</v>
      </c>
      <c r="G227" s="40">
        <v>6</v>
      </c>
      <c r="H227" s="40">
        <v>7.8</v>
      </c>
      <c r="I227" s="40">
        <v>7.8</v>
      </c>
      <c r="J227" s="40">
        <v>7.2</v>
      </c>
      <c r="K227" s="41">
        <v>5.3</v>
      </c>
      <c r="M227">
        <v>3.3250000000000011</v>
      </c>
    </row>
    <row r="228" spans="2:13" x14ac:dyDescent="0.25">
      <c r="B228" s="118"/>
      <c r="C228" s="119"/>
      <c r="D228" s="121"/>
      <c r="E228" s="11" t="s">
        <v>10</v>
      </c>
      <c r="F228" s="53">
        <v>2.6</v>
      </c>
      <c r="G228" s="53">
        <v>2.5</v>
      </c>
      <c r="H228" s="53">
        <v>2.5</v>
      </c>
      <c r="I228" s="53">
        <v>2.9</v>
      </c>
      <c r="J228" s="53">
        <v>2.6</v>
      </c>
      <c r="K228" s="54">
        <v>2.7</v>
      </c>
      <c r="M228">
        <v>2.1250000000000009</v>
      </c>
    </row>
    <row r="229" spans="2:13" x14ac:dyDescent="0.25">
      <c r="B229" s="118"/>
      <c r="C229" s="119"/>
      <c r="D229" s="121"/>
      <c r="E229" s="16" t="s">
        <v>12</v>
      </c>
      <c r="F229" s="12">
        <v>19.5</v>
      </c>
      <c r="G229" s="12">
        <v>20.6</v>
      </c>
      <c r="H229" s="12">
        <v>20.9</v>
      </c>
      <c r="I229" s="12">
        <v>19.100000000000001</v>
      </c>
      <c r="J229" s="12">
        <v>19.600000000000001</v>
      </c>
      <c r="K229" s="13">
        <v>19.5</v>
      </c>
      <c r="M229">
        <v>3.3250000000000011</v>
      </c>
    </row>
    <row r="230" spans="2:13" ht="15.75" thickBot="1" x14ac:dyDescent="0.3">
      <c r="B230" s="118"/>
      <c r="C230" s="119"/>
      <c r="D230" s="122"/>
      <c r="E230" s="17" t="s">
        <v>13</v>
      </c>
      <c r="F230" s="18">
        <f>F226-0.025</f>
        <v>2.5500000000000016</v>
      </c>
      <c r="G230" s="18">
        <f>G226-0.025</f>
        <v>1.9500000000000015</v>
      </c>
      <c r="H230" s="18">
        <f>H226-0.025</f>
        <v>2.5500000000000016</v>
      </c>
      <c r="I230" s="18">
        <f>I226-0.025</f>
        <v>3.1500000000000017</v>
      </c>
      <c r="J230" s="18">
        <f>J226-0.025</f>
        <v>1.9500000000000015</v>
      </c>
      <c r="K230" s="18">
        <f>K226-0.025</f>
        <v>3.1500000000000017</v>
      </c>
      <c r="M230">
        <v>2.7000000000000011</v>
      </c>
    </row>
    <row r="231" spans="2:13" x14ac:dyDescent="0.25">
      <c r="B231" s="118">
        <f>B227+1</f>
        <v>20</v>
      </c>
      <c r="C231" s="119">
        <v>0.66666666666666663</v>
      </c>
      <c r="D231" s="120">
        <f>D227+1</f>
        <v>43687</v>
      </c>
      <c r="E231" s="8" t="s">
        <v>9</v>
      </c>
      <c r="F231" s="40">
        <v>6.85</v>
      </c>
      <c r="G231" s="40">
        <v>5.9</v>
      </c>
      <c r="H231" s="86">
        <v>7.8</v>
      </c>
      <c r="I231" s="87">
        <v>7.45</v>
      </c>
      <c r="J231" s="40">
        <v>6.9</v>
      </c>
      <c r="K231" s="41">
        <v>5.25</v>
      </c>
      <c r="M231">
        <v>2.100000000000001</v>
      </c>
    </row>
    <row r="232" spans="2:13" x14ac:dyDescent="0.25">
      <c r="B232" s="118"/>
      <c r="C232" s="119"/>
      <c r="D232" s="121"/>
      <c r="E232" s="11" t="s">
        <v>10</v>
      </c>
      <c r="F232" s="53">
        <v>2.5</v>
      </c>
      <c r="G232" s="53">
        <v>2.5</v>
      </c>
      <c r="H232" s="88">
        <v>2.5</v>
      </c>
      <c r="I232" s="89">
        <v>2.9</v>
      </c>
      <c r="J232" s="53">
        <v>2.5</v>
      </c>
      <c r="K232" s="54">
        <v>2.7</v>
      </c>
      <c r="M232">
        <v>2.7000000000000011</v>
      </c>
    </row>
    <row r="233" spans="2:13" x14ac:dyDescent="0.25">
      <c r="B233" s="118"/>
      <c r="C233" s="119"/>
      <c r="D233" s="121"/>
      <c r="E233" s="16" t="s">
        <v>12</v>
      </c>
      <c r="F233" s="12">
        <v>19.5</v>
      </c>
      <c r="G233" s="12">
        <v>20.6</v>
      </c>
      <c r="H233" s="12">
        <v>20.9</v>
      </c>
      <c r="I233" s="12">
        <v>19.100000000000001</v>
      </c>
      <c r="J233" s="12">
        <v>19.600000000000001</v>
      </c>
      <c r="K233" s="13">
        <v>19.5</v>
      </c>
      <c r="M233">
        <v>3.3000000000000012</v>
      </c>
    </row>
    <row r="234" spans="2:13" ht="15.75" thickBot="1" x14ac:dyDescent="0.3">
      <c r="B234" s="118"/>
      <c r="C234" s="119"/>
      <c r="D234" s="122"/>
      <c r="E234" s="17" t="s">
        <v>13</v>
      </c>
      <c r="F234" s="18">
        <f>F230-0.025</f>
        <v>2.5250000000000017</v>
      </c>
      <c r="G234" s="18">
        <f>G230-0.025</f>
        <v>1.9250000000000016</v>
      </c>
      <c r="H234" s="18">
        <f>H230-0.025</f>
        <v>2.5250000000000017</v>
      </c>
      <c r="I234" s="18">
        <f>I230-0.025</f>
        <v>3.1250000000000018</v>
      </c>
      <c r="J234" s="18">
        <f>J230-0.025</f>
        <v>1.9250000000000016</v>
      </c>
      <c r="K234" s="18">
        <f>K230-0.025</f>
        <v>3.1250000000000018</v>
      </c>
      <c r="M234">
        <v>2.100000000000001</v>
      </c>
    </row>
    <row r="235" spans="2:13" x14ac:dyDescent="0.25">
      <c r="B235" s="7"/>
      <c r="C235" s="161"/>
      <c r="D235" s="162"/>
      <c r="E235" s="26"/>
      <c r="F235" s="116"/>
      <c r="G235" s="116"/>
      <c r="H235" s="116"/>
      <c r="I235" s="116"/>
      <c r="J235" s="116"/>
      <c r="K235" s="116"/>
      <c r="M235">
        <v>3.3000000000000012</v>
      </c>
    </row>
    <row r="236" spans="2:13" x14ac:dyDescent="0.25">
      <c r="B236" s="7"/>
      <c r="C236" s="161"/>
      <c r="D236" s="162"/>
      <c r="E236" s="26"/>
      <c r="F236" s="116"/>
      <c r="G236" s="116"/>
      <c r="H236" s="116"/>
      <c r="I236" s="116"/>
      <c r="J236" s="116"/>
      <c r="K236" s="116"/>
      <c r="M236">
        <v>2.6750000000000012</v>
      </c>
    </row>
    <row r="237" spans="2:13" x14ac:dyDescent="0.25">
      <c r="B237" s="7"/>
      <c r="C237" s="161"/>
      <c r="D237" s="162"/>
      <c r="E237" s="26"/>
      <c r="F237" s="116"/>
      <c r="G237" s="116"/>
      <c r="H237" s="116"/>
      <c r="I237" s="116"/>
      <c r="J237" s="116"/>
      <c r="K237" s="116"/>
      <c r="M237">
        <v>2.0750000000000011</v>
      </c>
    </row>
    <row r="238" spans="2:13" x14ac:dyDescent="0.25">
      <c r="B238" s="7"/>
      <c r="C238" s="161"/>
      <c r="D238" s="162"/>
      <c r="E238" s="26"/>
      <c r="F238" s="116"/>
      <c r="G238" s="116"/>
      <c r="H238" s="116"/>
      <c r="I238" s="116"/>
      <c r="J238" s="116"/>
      <c r="K238" s="116"/>
      <c r="M238">
        <v>2.6750000000000012</v>
      </c>
    </row>
    <row r="239" spans="2:13" x14ac:dyDescent="0.25">
      <c r="B239" s="7"/>
      <c r="C239" s="161"/>
      <c r="D239" s="162"/>
      <c r="E239" s="26"/>
      <c r="F239" s="116"/>
      <c r="G239" s="116"/>
      <c r="H239" s="116"/>
      <c r="I239" s="116"/>
      <c r="J239" s="116"/>
      <c r="K239" s="116"/>
      <c r="M239">
        <v>3.2750000000000012</v>
      </c>
    </row>
    <row r="240" spans="2:13" x14ac:dyDescent="0.25">
      <c r="B240" s="7"/>
      <c r="C240" s="161"/>
      <c r="D240" s="162"/>
      <c r="E240" s="26"/>
      <c r="F240" s="116"/>
      <c r="G240" s="116"/>
      <c r="H240" s="116"/>
      <c r="I240" s="116"/>
      <c r="J240" s="116"/>
      <c r="K240" s="116"/>
      <c r="M240">
        <v>2.0750000000000011</v>
      </c>
    </row>
    <row r="241" spans="2:13" x14ac:dyDescent="0.25">
      <c r="B241" s="7"/>
      <c r="C241" s="161"/>
      <c r="D241" s="162"/>
      <c r="E241" s="26"/>
      <c r="F241" s="116"/>
      <c r="G241" s="116"/>
      <c r="H241" s="116"/>
      <c r="I241" s="116"/>
      <c r="J241" s="116"/>
      <c r="K241" s="116"/>
      <c r="M241">
        <v>3.2750000000000012</v>
      </c>
    </row>
    <row r="242" spans="2:13" x14ac:dyDescent="0.25">
      <c r="B242" s="7"/>
      <c r="C242" s="161"/>
      <c r="D242" s="162"/>
      <c r="E242" s="26"/>
      <c r="F242" s="116"/>
      <c r="G242" s="116"/>
      <c r="H242" s="116"/>
      <c r="I242" s="116"/>
      <c r="J242" s="116"/>
      <c r="K242" s="116"/>
      <c r="M242">
        <v>2.6500000000000012</v>
      </c>
    </row>
    <row r="243" spans="2:13" x14ac:dyDescent="0.25">
      <c r="B243" s="7"/>
      <c r="C243" s="161"/>
      <c r="D243" s="162"/>
      <c r="E243" s="26"/>
      <c r="F243" s="116"/>
      <c r="G243" s="116"/>
      <c r="H243" s="116"/>
      <c r="I243" s="116"/>
      <c r="J243" s="116"/>
      <c r="K243" s="116"/>
      <c r="M243">
        <v>2.0500000000000012</v>
      </c>
    </row>
    <row r="244" spans="2:13" x14ac:dyDescent="0.25">
      <c r="B244" s="7"/>
      <c r="C244" s="161"/>
      <c r="D244" s="162"/>
      <c r="E244" s="26"/>
      <c r="F244" s="116"/>
      <c r="G244" s="116"/>
      <c r="H244" s="116"/>
      <c r="I244" s="116"/>
      <c r="J244" s="116"/>
      <c r="K244" s="116"/>
      <c r="M244">
        <v>2.6500000000000012</v>
      </c>
    </row>
    <row r="245" spans="2:13" x14ac:dyDescent="0.25">
      <c r="B245" s="7"/>
      <c r="C245" s="161"/>
      <c r="D245" s="162"/>
      <c r="E245" s="26"/>
      <c r="F245" s="116"/>
      <c r="G245" s="116"/>
      <c r="H245" s="116"/>
      <c r="I245" s="116"/>
      <c r="J245" s="116"/>
      <c r="K245" s="116"/>
      <c r="M245">
        <v>3.2500000000000013</v>
      </c>
    </row>
    <row r="246" spans="2:13" x14ac:dyDescent="0.25">
      <c r="B246" s="7"/>
      <c r="C246" s="161"/>
      <c r="D246" s="162"/>
      <c r="E246" s="26"/>
      <c r="F246" s="116"/>
      <c r="G246" s="116"/>
      <c r="H246" s="116"/>
      <c r="I246" s="116"/>
      <c r="J246" s="116"/>
      <c r="K246" s="116"/>
      <c r="M246">
        <v>2.0500000000000012</v>
      </c>
    </row>
    <row r="247" spans="2:13" x14ac:dyDescent="0.25">
      <c r="B247" s="7"/>
      <c r="C247" s="161"/>
      <c r="D247" s="162"/>
      <c r="E247" s="26"/>
      <c r="F247" s="116"/>
      <c r="G247" s="116"/>
      <c r="H247" s="116"/>
      <c r="I247" s="116"/>
      <c r="J247" s="116"/>
      <c r="K247" s="116"/>
      <c r="M247">
        <v>3.2500000000000013</v>
      </c>
    </row>
    <row r="248" spans="2:13" x14ac:dyDescent="0.25">
      <c r="B248" s="7"/>
      <c r="C248" s="161"/>
      <c r="D248" s="162"/>
      <c r="E248" s="26"/>
      <c r="F248" s="116"/>
      <c r="G248" s="116"/>
      <c r="H248" s="116"/>
      <c r="I248" s="116"/>
      <c r="J248" s="116"/>
      <c r="K248" s="116"/>
      <c r="M248">
        <v>2.6250000000000013</v>
      </c>
    </row>
    <row r="249" spans="2:13" x14ac:dyDescent="0.25">
      <c r="B249" s="7"/>
      <c r="C249" s="161"/>
      <c r="D249" s="162"/>
      <c r="E249" s="26"/>
      <c r="F249" s="116"/>
      <c r="G249" s="116"/>
      <c r="H249" s="116"/>
      <c r="I249" s="116"/>
      <c r="J249" s="116"/>
      <c r="K249" s="116"/>
      <c r="M249">
        <v>2.0250000000000012</v>
      </c>
    </row>
    <row r="250" spans="2:13" x14ac:dyDescent="0.25">
      <c r="B250" s="7"/>
      <c r="C250" s="161"/>
      <c r="D250" s="162"/>
      <c r="E250" s="26"/>
      <c r="F250" s="116"/>
      <c r="G250" s="116"/>
      <c r="H250" s="116"/>
      <c r="I250" s="116"/>
      <c r="J250" s="116"/>
      <c r="K250" s="116"/>
      <c r="M250">
        <v>2.6250000000000013</v>
      </c>
    </row>
    <row r="251" spans="2:13" x14ac:dyDescent="0.25">
      <c r="B251" s="7"/>
      <c r="C251" s="161"/>
      <c r="D251" s="162"/>
      <c r="E251" s="26"/>
      <c r="F251" s="116"/>
      <c r="G251" s="116"/>
      <c r="H251" s="116"/>
      <c r="I251" s="116"/>
      <c r="J251" s="116"/>
      <c r="K251" s="116"/>
      <c r="M251">
        <v>3.2250000000000014</v>
      </c>
    </row>
    <row r="252" spans="2:13" x14ac:dyDescent="0.25">
      <c r="B252" s="7"/>
      <c r="C252" s="161"/>
      <c r="D252" s="162"/>
      <c r="E252" s="26"/>
      <c r="F252" s="116"/>
      <c r="G252" s="116"/>
      <c r="H252" s="116"/>
      <c r="I252" s="116"/>
      <c r="J252" s="116"/>
      <c r="K252" s="116"/>
      <c r="M252">
        <v>2.0250000000000012</v>
      </c>
    </row>
    <row r="253" spans="2:13" x14ac:dyDescent="0.25">
      <c r="B253" s="7"/>
      <c r="C253" s="161"/>
      <c r="D253" s="162"/>
      <c r="E253" s="26"/>
      <c r="F253" s="116"/>
      <c r="G253" s="116"/>
      <c r="H253" s="116"/>
      <c r="I253" s="116"/>
      <c r="J253" s="116"/>
      <c r="K253" s="116"/>
      <c r="M253">
        <v>3.2250000000000014</v>
      </c>
    </row>
    <row r="254" spans="2:13" x14ac:dyDescent="0.25">
      <c r="B254" s="7"/>
      <c r="C254" s="161"/>
      <c r="D254" s="162"/>
      <c r="E254" s="26"/>
      <c r="F254" s="116"/>
      <c r="G254" s="116"/>
      <c r="H254" s="116"/>
      <c r="I254" s="116"/>
      <c r="J254" s="116"/>
      <c r="K254" s="116"/>
      <c r="M254">
        <v>2.6000000000000014</v>
      </c>
    </row>
    <row r="255" spans="2:13" x14ac:dyDescent="0.25">
      <c r="B255" s="7"/>
      <c r="C255" s="161"/>
      <c r="D255" s="162"/>
      <c r="E255" s="26"/>
      <c r="F255" s="116"/>
      <c r="G255" s="116"/>
      <c r="H255" s="116"/>
      <c r="I255" s="116"/>
      <c r="J255" s="116"/>
      <c r="K255" s="116"/>
      <c r="M255">
        <v>2.0000000000000013</v>
      </c>
    </row>
    <row r="256" spans="2:13" x14ac:dyDescent="0.25">
      <c r="B256" s="7"/>
      <c r="C256" s="161"/>
      <c r="D256" s="162"/>
      <c r="E256" s="26"/>
      <c r="F256" s="116"/>
      <c r="G256" s="116"/>
      <c r="H256" s="116"/>
      <c r="I256" s="116"/>
      <c r="J256" s="116"/>
      <c r="K256" s="116"/>
      <c r="M256">
        <v>2.6000000000000014</v>
      </c>
    </row>
    <row r="257" spans="2:13" x14ac:dyDescent="0.25">
      <c r="B257" s="7"/>
      <c r="C257" s="161"/>
      <c r="D257" s="162"/>
      <c r="E257" s="26"/>
      <c r="F257" s="116"/>
      <c r="G257" s="116"/>
      <c r="H257" s="116"/>
      <c r="I257" s="116"/>
      <c r="J257" s="116"/>
      <c r="K257" s="116"/>
      <c r="M257">
        <v>3.2000000000000015</v>
      </c>
    </row>
    <row r="258" spans="2:13" x14ac:dyDescent="0.25">
      <c r="B258" s="7"/>
      <c r="C258" s="161"/>
      <c r="D258" s="162"/>
      <c r="E258" s="26"/>
      <c r="F258" s="116"/>
      <c r="G258" s="116"/>
      <c r="H258" s="116"/>
      <c r="I258" s="116"/>
      <c r="J258" s="116"/>
      <c r="K258" s="116"/>
      <c r="M258">
        <v>2.0000000000000013</v>
      </c>
    </row>
    <row r="259" spans="2:13" x14ac:dyDescent="0.25">
      <c r="B259" s="7"/>
      <c r="C259" s="161"/>
      <c r="D259" s="162"/>
      <c r="E259" s="26"/>
      <c r="F259" s="116"/>
      <c r="G259" s="116"/>
      <c r="H259" s="116"/>
      <c r="I259" s="116"/>
      <c r="J259" s="116"/>
      <c r="K259" s="116"/>
      <c r="M259">
        <v>3.2000000000000015</v>
      </c>
    </row>
    <row r="260" spans="2:13" x14ac:dyDescent="0.25">
      <c r="B260" s="7"/>
      <c r="C260" s="161"/>
      <c r="D260" s="162"/>
      <c r="E260" s="26"/>
      <c r="F260" s="116"/>
      <c r="G260" s="116"/>
      <c r="H260" s="116"/>
      <c r="I260" s="116"/>
      <c r="J260" s="116"/>
      <c r="K260" s="116"/>
      <c r="M260">
        <v>2.5750000000000015</v>
      </c>
    </row>
    <row r="261" spans="2:13" x14ac:dyDescent="0.25">
      <c r="B261" s="7"/>
      <c r="C261" s="161"/>
      <c r="D261" s="162"/>
      <c r="E261" s="26"/>
      <c r="F261" s="116"/>
      <c r="G261" s="116"/>
      <c r="H261" s="116"/>
      <c r="I261" s="116"/>
      <c r="J261" s="116"/>
      <c r="K261" s="116"/>
      <c r="M261">
        <v>1.9750000000000014</v>
      </c>
    </row>
    <row r="262" spans="2:13" x14ac:dyDescent="0.25">
      <c r="B262" s="7"/>
      <c r="C262" s="161"/>
      <c r="D262" s="162"/>
      <c r="E262" s="26"/>
      <c r="F262" s="116"/>
      <c r="G262" s="116"/>
      <c r="H262" s="116"/>
      <c r="I262" s="116"/>
      <c r="J262" s="116"/>
      <c r="K262" s="116"/>
      <c r="M262">
        <v>2.5750000000000015</v>
      </c>
    </row>
    <row r="263" spans="2:13" x14ac:dyDescent="0.25">
      <c r="B263" s="7"/>
      <c r="C263" s="161"/>
      <c r="D263" s="162"/>
      <c r="E263" s="26"/>
      <c r="F263" s="116"/>
      <c r="G263" s="116"/>
      <c r="H263" s="116"/>
      <c r="I263" s="116"/>
      <c r="J263" s="116"/>
      <c r="K263" s="116"/>
      <c r="M263">
        <v>3.1750000000000016</v>
      </c>
    </row>
    <row r="264" spans="2:13" x14ac:dyDescent="0.25">
      <c r="B264" s="7"/>
      <c r="C264" s="161"/>
      <c r="D264" s="162"/>
      <c r="E264" s="26"/>
      <c r="F264" s="116"/>
      <c r="G264" s="116"/>
      <c r="H264" s="116"/>
      <c r="I264" s="116"/>
      <c r="J264" s="116"/>
      <c r="K264" s="116"/>
      <c r="M264">
        <v>1.9750000000000014</v>
      </c>
    </row>
    <row r="265" spans="2:13" x14ac:dyDescent="0.25">
      <c r="B265" s="7"/>
      <c r="C265" s="161"/>
      <c r="D265" s="162"/>
      <c r="E265" s="26"/>
      <c r="F265" s="116"/>
      <c r="G265" s="116"/>
      <c r="H265" s="116"/>
      <c r="I265" s="116"/>
      <c r="J265" s="116"/>
      <c r="K265" s="116"/>
      <c r="M265">
        <v>3.1750000000000016</v>
      </c>
    </row>
    <row r="266" spans="2:13" x14ac:dyDescent="0.25">
      <c r="B266" s="7"/>
      <c r="C266" s="161"/>
      <c r="D266" s="162"/>
      <c r="E266" s="26"/>
      <c r="F266" s="116"/>
      <c r="G266" s="116"/>
      <c r="H266" s="116"/>
      <c r="I266" s="116"/>
      <c r="J266" s="116"/>
      <c r="K266" s="116"/>
      <c r="M266">
        <v>2.5500000000000016</v>
      </c>
    </row>
    <row r="267" spans="2:13" x14ac:dyDescent="0.25">
      <c r="B267" s="7"/>
      <c r="C267" s="161"/>
      <c r="D267" s="162"/>
      <c r="E267" s="26"/>
      <c r="F267" s="116"/>
      <c r="G267" s="116"/>
      <c r="H267" s="116"/>
      <c r="I267" s="116"/>
      <c r="J267" s="116"/>
      <c r="K267" s="116"/>
      <c r="M267">
        <v>1.9500000000000015</v>
      </c>
    </row>
    <row r="268" spans="2:13" x14ac:dyDescent="0.25">
      <c r="B268" s="7"/>
      <c r="C268" s="161"/>
      <c r="D268" s="162"/>
      <c r="E268" s="26"/>
      <c r="F268" s="116"/>
      <c r="G268" s="116"/>
      <c r="H268" s="116"/>
      <c r="I268" s="116"/>
      <c r="J268" s="116"/>
      <c r="K268" s="116"/>
      <c r="M268">
        <v>2.5500000000000016</v>
      </c>
    </row>
    <row r="269" spans="2:13" x14ac:dyDescent="0.25">
      <c r="B269" s="7"/>
      <c r="C269" s="161"/>
      <c r="D269" s="162"/>
      <c r="E269" s="26"/>
      <c r="F269" s="116"/>
      <c r="G269" s="116"/>
      <c r="H269" s="116"/>
      <c r="I269" s="116"/>
      <c r="J269" s="116"/>
      <c r="K269" s="116"/>
      <c r="M269">
        <v>3.1500000000000017</v>
      </c>
    </row>
    <row r="270" spans="2:13" x14ac:dyDescent="0.25">
      <c r="B270" s="7"/>
      <c r="C270" s="161"/>
      <c r="D270" s="162"/>
      <c r="E270" s="26"/>
      <c r="F270" s="116"/>
      <c r="G270" s="116"/>
      <c r="H270" s="116"/>
      <c r="I270" s="116"/>
      <c r="J270" s="116"/>
      <c r="K270" s="116"/>
      <c r="M270">
        <v>1.9500000000000015</v>
      </c>
    </row>
    <row r="271" spans="2:13" x14ac:dyDescent="0.25">
      <c r="B271" s="7"/>
      <c r="C271" s="161"/>
      <c r="D271" s="162"/>
      <c r="E271" s="26"/>
      <c r="F271" s="116"/>
      <c r="G271" s="116"/>
      <c r="H271" s="116"/>
      <c r="I271" s="116"/>
      <c r="J271" s="116"/>
      <c r="K271" s="116"/>
      <c r="M271">
        <v>3.1500000000000017</v>
      </c>
    </row>
    <row r="272" spans="2:13" x14ac:dyDescent="0.25">
      <c r="B272" s="7"/>
      <c r="C272" s="161"/>
      <c r="D272" s="162"/>
      <c r="E272" s="26"/>
      <c r="F272" s="116"/>
      <c r="G272" s="116"/>
      <c r="H272" s="116"/>
      <c r="I272" s="116"/>
      <c r="J272" s="116"/>
      <c r="K272" s="116"/>
      <c r="M272">
        <v>2.5250000000000017</v>
      </c>
    </row>
    <row r="273" spans="2:20" x14ac:dyDescent="0.25">
      <c r="B273" s="7"/>
      <c r="C273" s="161"/>
      <c r="D273" s="162"/>
      <c r="E273" s="26"/>
      <c r="F273" s="116"/>
      <c r="G273" s="116"/>
      <c r="H273" s="116"/>
      <c r="I273" s="116"/>
      <c r="J273" s="116"/>
      <c r="K273" s="116"/>
      <c r="M273">
        <v>1.9250000000000016</v>
      </c>
    </row>
    <row r="274" spans="2:20" x14ac:dyDescent="0.25">
      <c r="B274" s="7"/>
      <c r="C274" s="161"/>
      <c r="D274" s="162"/>
      <c r="E274" s="26"/>
      <c r="F274" s="116"/>
      <c r="G274" s="116"/>
      <c r="H274" s="116"/>
      <c r="I274" s="116"/>
      <c r="J274" s="116"/>
      <c r="K274" s="116"/>
      <c r="M274">
        <v>2.5250000000000017</v>
      </c>
    </row>
    <row r="275" spans="2:20" x14ac:dyDescent="0.25">
      <c r="B275" s="7"/>
      <c r="C275" s="161"/>
      <c r="D275" s="162"/>
      <c r="E275" s="26"/>
      <c r="F275" s="116"/>
      <c r="G275" s="116"/>
      <c r="H275" s="116"/>
      <c r="I275" s="116"/>
      <c r="J275" s="116"/>
      <c r="K275" s="116"/>
      <c r="M275">
        <v>3.1250000000000018</v>
      </c>
    </row>
    <row r="276" spans="2:20" x14ac:dyDescent="0.25">
      <c r="B276" s="7"/>
      <c r="C276" s="161"/>
      <c r="D276" s="162"/>
      <c r="E276" s="26"/>
      <c r="F276" s="116"/>
      <c r="G276" s="116"/>
      <c r="H276" s="116"/>
      <c r="I276" s="116"/>
      <c r="J276" s="116"/>
      <c r="K276" s="116"/>
      <c r="M276">
        <v>1.9250000000000016</v>
      </c>
    </row>
    <row r="277" spans="2:20" x14ac:dyDescent="0.25">
      <c r="B277" s="7"/>
      <c r="C277" s="161"/>
      <c r="D277" s="162"/>
      <c r="E277" s="26"/>
      <c r="F277" s="116"/>
      <c r="G277" s="116"/>
      <c r="H277" s="116"/>
      <c r="I277" s="116"/>
      <c r="J277" s="116"/>
      <c r="K277" s="116"/>
      <c r="M277">
        <v>3.1250000000000018</v>
      </c>
    </row>
    <row r="283" spans="2:20" ht="15.75" thickBot="1" x14ac:dyDescent="0.3"/>
    <row r="284" spans="2:20" x14ac:dyDescent="0.25">
      <c r="C284" s="127" t="s">
        <v>39</v>
      </c>
      <c r="D284" s="128"/>
    </row>
    <row r="285" spans="2:20" ht="15.75" thickBot="1" x14ac:dyDescent="0.3">
      <c r="C285" s="28" t="s">
        <v>40</v>
      </c>
      <c r="D285" s="29">
        <v>43688</v>
      </c>
    </row>
    <row r="286" spans="2:20" ht="15.75" thickBot="1" x14ac:dyDescent="0.3">
      <c r="N286" s="123" t="s">
        <v>46</v>
      </c>
      <c r="O286" s="124"/>
      <c r="P286" s="124"/>
      <c r="Q286" s="124"/>
      <c r="R286" s="124"/>
      <c r="S286" s="124"/>
      <c r="T286" s="124"/>
    </row>
    <row r="287" spans="2:20" ht="15.75" thickBot="1" x14ac:dyDescent="0.3">
      <c r="E287" s="19"/>
      <c r="F287" s="20" t="s">
        <v>14</v>
      </c>
      <c r="G287" s="21" t="s">
        <v>15</v>
      </c>
      <c r="H287" s="21" t="s">
        <v>16</v>
      </c>
      <c r="I287" s="21" t="s">
        <v>17</v>
      </c>
      <c r="J287" s="21" t="s">
        <v>18</v>
      </c>
      <c r="K287" s="21" t="s">
        <v>19</v>
      </c>
      <c r="L287" s="21" t="s">
        <v>19</v>
      </c>
      <c r="M287" s="21" t="s">
        <v>20</v>
      </c>
      <c r="N287" s="31" t="s">
        <v>14</v>
      </c>
      <c r="O287" s="27" t="s">
        <v>15</v>
      </c>
      <c r="P287" s="27" t="s">
        <v>16</v>
      </c>
      <c r="Q287" s="27" t="s">
        <v>17</v>
      </c>
      <c r="R287" s="27" t="s">
        <v>18</v>
      </c>
      <c r="S287" s="27" t="s">
        <v>19</v>
      </c>
      <c r="T287" s="27" t="s">
        <v>19</v>
      </c>
    </row>
    <row r="288" spans="2:20" ht="15.75" thickBot="1" x14ac:dyDescent="0.3">
      <c r="D288" s="22" t="s">
        <v>21</v>
      </c>
      <c r="E288" s="22" t="s">
        <v>22</v>
      </c>
      <c r="F288" s="23" t="s">
        <v>23</v>
      </c>
      <c r="G288" s="23" t="s">
        <v>24</v>
      </c>
      <c r="H288" s="23" t="s">
        <v>24</v>
      </c>
      <c r="I288" s="23" t="s">
        <v>24</v>
      </c>
      <c r="J288" s="23" t="s">
        <v>25</v>
      </c>
      <c r="K288" s="23" t="s">
        <v>9</v>
      </c>
      <c r="L288" s="23" t="s">
        <v>10</v>
      </c>
      <c r="M288" s="23" t="s">
        <v>25</v>
      </c>
      <c r="N288" s="33" t="s">
        <v>23</v>
      </c>
      <c r="O288" s="23" t="s">
        <v>24</v>
      </c>
      <c r="P288" s="23" t="s">
        <v>24</v>
      </c>
      <c r="Q288" s="23" t="s">
        <v>24</v>
      </c>
      <c r="R288" s="23" t="s">
        <v>25</v>
      </c>
      <c r="S288" s="23" t="s">
        <v>9</v>
      </c>
      <c r="T288" s="23" t="s">
        <v>10</v>
      </c>
    </row>
    <row r="289" spans="2:20" x14ac:dyDescent="0.25">
      <c r="D289" s="129">
        <v>3</v>
      </c>
      <c r="E289" s="24" t="s">
        <v>3</v>
      </c>
      <c r="F289" s="23" t="s">
        <v>26</v>
      </c>
      <c r="G289" s="90">
        <v>6</v>
      </c>
      <c r="H289" s="16">
        <v>140</v>
      </c>
      <c r="I289" s="23">
        <v>1004</v>
      </c>
      <c r="J289" s="23">
        <v>0.6</v>
      </c>
      <c r="K289" s="23">
        <v>6.85</v>
      </c>
      <c r="L289" s="23">
        <v>2.5</v>
      </c>
      <c r="M289" s="23">
        <v>2</v>
      </c>
      <c r="N289" s="33" t="s">
        <v>26</v>
      </c>
      <c r="O289" s="34">
        <f>G289/$M289</f>
        <v>3</v>
      </c>
      <c r="P289" s="34">
        <f>H289/$M289</f>
        <v>70</v>
      </c>
      <c r="Q289" s="34">
        <f>I289/$M289</f>
        <v>502</v>
      </c>
      <c r="R289" s="34">
        <f t="shared" ref="R289:R294" si="21">J289/$M289</f>
        <v>0.3</v>
      </c>
      <c r="S289" s="23">
        <v>6.85</v>
      </c>
      <c r="T289" s="23">
        <v>2.5</v>
      </c>
    </row>
    <row r="290" spans="2:20" x14ac:dyDescent="0.25">
      <c r="D290" s="130"/>
      <c r="E290" s="11" t="s">
        <v>4</v>
      </c>
      <c r="F290" s="23" t="s">
        <v>27</v>
      </c>
      <c r="G290" s="90">
        <f>1.5*4</f>
        <v>6</v>
      </c>
      <c r="H290" s="16">
        <v>140</v>
      </c>
      <c r="I290" s="23">
        <v>917</v>
      </c>
      <c r="J290" s="23">
        <v>0.3</v>
      </c>
      <c r="K290" s="23">
        <v>5.9</v>
      </c>
      <c r="L290" s="23">
        <v>2.5</v>
      </c>
      <c r="M290" s="90">
        <v>2</v>
      </c>
      <c r="N290" s="33" t="s">
        <v>27</v>
      </c>
      <c r="O290" s="34">
        <f t="shared" ref="O290:O294" si="22">G290/$M290</f>
        <v>3</v>
      </c>
      <c r="P290" s="34">
        <f>H290/$M290</f>
        <v>70</v>
      </c>
      <c r="Q290" s="34">
        <f t="shared" ref="Q290:Q294" si="23">I290/$M290</f>
        <v>458.5</v>
      </c>
      <c r="R290" s="34">
        <f t="shared" si="21"/>
        <v>0.15</v>
      </c>
      <c r="S290" s="23">
        <v>5.9</v>
      </c>
      <c r="T290" s="23">
        <v>2.5</v>
      </c>
    </row>
    <row r="291" spans="2:20" x14ac:dyDescent="0.25">
      <c r="D291" s="130"/>
      <c r="E291" s="11" t="s">
        <v>5</v>
      </c>
      <c r="F291" s="23" t="s">
        <v>28</v>
      </c>
      <c r="G291" s="90">
        <v>6</v>
      </c>
      <c r="H291" s="16">
        <v>140</v>
      </c>
      <c r="I291" s="23">
        <v>934</v>
      </c>
      <c r="J291" s="23">
        <v>0.3</v>
      </c>
      <c r="K291" s="23">
        <v>7.8</v>
      </c>
      <c r="L291" s="23">
        <v>2.5</v>
      </c>
      <c r="M291" s="90">
        <v>2</v>
      </c>
      <c r="N291" s="33" t="s">
        <v>28</v>
      </c>
      <c r="O291" s="34">
        <f t="shared" si="22"/>
        <v>3</v>
      </c>
      <c r="P291" s="34">
        <f>H291/$M291</f>
        <v>70</v>
      </c>
      <c r="Q291" s="34">
        <f t="shared" si="23"/>
        <v>467</v>
      </c>
      <c r="R291" s="34">
        <f t="shared" si="21"/>
        <v>0.15</v>
      </c>
      <c r="S291" s="23">
        <v>7.8</v>
      </c>
      <c r="T291" s="23">
        <v>2.5</v>
      </c>
    </row>
    <row r="292" spans="2:20" x14ac:dyDescent="0.25">
      <c r="D292" s="130"/>
      <c r="E292" s="11" t="s">
        <v>6</v>
      </c>
      <c r="F292" s="23" t="s">
        <v>26</v>
      </c>
      <c r="G292" s="90">
        <f>1.5*6</f>
        <v>9</v>
      </c>
      <c r="H292" s="16">
        <v>140</v>
      </c>
      <c r="I292" s="23">
        <v>884</v>
      </c>
      <c r="J292" s="23">
        <v>0.3</v>
      </c>
      <c r="K292" s="23">
        <v>6.85</v>
      </c>
      <c r="L292" s="23">
        <v>2.5</v>
      </c>
      <c r="M292" s="90">
        <v>2</v>
      </c>
      <c r="N292" s="33" t="s">
        <v>26</v>
      </c>
      <c r="O292" s="34">
        <f t="shared" si="22"/>
        <v>4.5</v>
      </c>
      <c r="P292" s="34">
        <f>H292/$M292</f>
        <v>70</v>
      </c>
      <c r="Q292" s="34">
        <f t="shared" si="23"/>
        <v>442</v>
      </c>
      <c r="R292" s="34">
        <f t="shared" si="21"/>
        <v>0.15</v>
      </c>
      <c r="S292" s="23">
        <v>6.85</v>
      </c>
      <c r="T292" s="23">
        <v>2.5</v>
      </c>
    </row>
    <row r="293" spans="2:20" x14ac:dyDescent="0.25">
      <c r="D293" s="130"/>
      <c r="E293" s="11" t="s">
        <v>7</v>
      </c>
      <c r="F293" s="23" t="s">
        <v>27</v>
      </c>
      <c r="G293" s="90">
        <f>1.5*6</f>
        <v>9</v>
      </c>
      <c r="H293" s="16">
        <v>140</v>
      </c>
      <c r="I293" s="23">
        <v>909</v>
      </c>
      <c r="J293" s="23">
        <v>0.3</v>
      </c>
      <c r="K293" s="23">
        <v>5.9</v>
      </c>
      <c r="L293" s="23">
        <v>2.5</v>
      </c>
      <c r="M293" s="90">
        <v>2</v>
      </c>
      <c r="N293" s="33" t="s">
        <v>27</v>
      </c>
      <c r="O293" s="34">
        <f t="shared" si="22"/>
        <v>4.5</v>
      </c>
      <c r="P293" s="34">
        <f>H293/$M293</f>
        <v>70</v>
      </c>
      <c r="Q293" s="34">
        <f t="shared" si="23"/>
        <v>454.5</v>
      </c>
      <c r="R293" s="34">
        <f t="shared" si="21"/>
        <v>0.15</v>
      </c>
      <c r="S293" s="23">
        <v>5.9</v>
      </c>
      <c r="T293" s="23">
        <v>2.5</v>
      </c>
    </row>
    <row r="294" spans="2:20" ht="15.75" thickBot="1" x14ac:dyDescent="0.3">
      <c r="D294" s="130"/>
      <c r="E294" s="11" t="s">
        <v>8</v>
      </c>
      <c r="F294" s="23" t="s">
        <v>28</v>
      </c>
      <c r="G294" s="90">
        <f>1.5*6</f>
        <v>9</v>
      </c>
      <c r="H294" s="16">
        <v>140</v>
      </c>
      <c r="I294" s="23">
        <v>926</v>
      </c>
      <c r="J294" s="23">
        <v>0.3</v>
      </c>
      <c r="K294" s="23">
        <v>7.8</v>
      </c>
      <c r="L294" s="23">
        <v>2.5</v>
      </c>
      <c r="M294" s="90">
        <v>2</v>
      </c>
      <c r="N294" s="35" t="s">
        <v>28</v>
      </c>
      <c r="O294" s="34">
        <f t="shared" si="22"/>
        <v>4.5</v>
      </c>
      <c r="P294" s="34">
        <f>H294/$M294</f>
        <v>70</v>
      </c>
      <c r="Q294" s="34">
        <f t="shared" si="23"/>
        <v>463</v>
      </c>
      <c r="R294" s="34">
        <f t="shared" si="21"/>
        <v>0.15</v>
      </c>
      <c r="S294" s="23">
        <v>7.8</v>
      </c>
      <c r="T294" s="23">
        <v>2.5</v>
      </c>
    </row>
    <row r="297" spans="2:20" x14ac:dyDescent="0.25">
      <c r="I297" s="131" t="s">
        <v>48</v>
      </c>
      <c r="J297" s="131"/>
    </row>
    <row r="298" spans="2:20" ht="15.75" thickBot="1" x14ac:dyDescent="0.3">
      <c r="F298" s="2" t="s">
        <v>3</v>
      </c>
      <c r="G298" s="2" t="s">
        <v>4</v>
      </c>
      <c r="H298" s="2" t="s">
        <v>5</v>
      </c>
      <c r="I298" s="92" t="s">
        <v>6</v>
      </c>
      <c r="J298" s="92" t="s">
        <v>7</v>
      </c>
      <c r="K298" s="2" t="s">
        <v>8</v>
      </c>
    </row>
    <row r="299" spans="2:20" x14ac:dyDescent="0.25">
      <c r="B299" s="118">
        <f>B294+1</f>
        <v>1</v>
      </c>
      <c r="C299" s="119">
        <v>0.79166666666666663</v>
      </c>
      <c r="D299" s="120">
        <v>43689</v>
      </c>
      <c r="E299" s="8" t="s">
        <v>9</v>
      </c>
      <c r="F299" s="40">
        <v>6.85</v>
      </c>
      <c r="G299" s="40">
        <v>6.9</v>
      </c>
      <c r="H299" s="40">
        <v>8</v>
      </c>
      <c r="I299" s="40">
        <v>7.4</v>
      </c>
      <c r="J299" s="40">
        <v>6.1</v>
      </c>
      <c r="K299" s="93">
        <v>7.1</v>
      </c>
      <c r="L299" t="s">
        <v>49</v>
      </c>
    </row>
    <row r="300" spans="2:20" x14ac:dyDescent="0.25">
      <c r="B300" s="118"/>
      <c r="C300" s="119"/>
      <c r="D300" s="121"/>
      <c r="E300" s="11" t="s">
        <v>10</v>
      </c>
      <c r="F300" s="53">
        <v>3.1</v>
      </c>
      <c r="G300" s="53">
        <v>2.9</v>
      </c>
      <c r="H300" s="53">
        <v>3</v>
      </c>
      <c r="I300" s="53">
        <v>3.2</v>
      </c>
      <c r="J300" s="53">
        <v>2.8</v>
      </c>
      <c r="K300" s="94">
        <v>3.2</v>
      </c>
    </row>
    <row r="301" spans="2:20" x14ac:dyDescent="0.25">
      <c r="B301" s="118"/>
      <c r="C301" s="119"/>
      <c r="D301" s="121"/>
      <c r="E301" s="16" t="s">
        <v>12</v>
      </c>
      <c r="F301" s="53">
        <v>21.5</v>
      </c>
      <c r="G301" s="53">
        <v>19.600000000000001</v>
      </c>
      <c r="H301" s="53">
        <v>20.5</v>
      </c>
      <c r="I301" s="53">
        <v>22.5</v>
      </c>
      <c r="J301" s="53">
        <v>22.1</v>
      </c>
      <c r="K301" s="54">
        <v>22.3</v>
      </c>
    </row>
    <row r="302" spans="2:20" ht="15.75" thickBot="1" x14ac:dyDescent="0.3">
      <c r="B302" s="118"/>
      <c r="C302" s="119"/>
      <c r="D302" s="122"/>
      <c r="E302" s="17" t="s">
        <v>13</v>
      </c>
      <c r="F302" s="64">
        <v>2</v>
      </c>
      <c r="G302" s="64">
        <v>2</v>
      </c>
      <c r="H302" s="64">
        <v>2</v>
      </c>
      <c r="I302" s="64">
        <v>2</v>
      </c>
      <c r="J302" s="64">
        <v>2</v>
      </c>
      <c r="K302" s="64">
        <v>2</v>
      </c>
    </row>
    <row r="303" spans="2:20" x14ac:dyDescent="0.25">
      <c r="B303" s="118">
        <f>B299+1</f>
        <v>2</v>
      </c>
      <c r="C303" s="119">
        <v>0.79166666666666663</v>
      </c>
      <c r="D303" s="120">
        <f>D299+1</f>
        <v>43690</v>
      </c>
      <c r="E303" s="8" t="s">
        <v>9</v>
      </c>
      <c r="F303" s="40">
        <v>6.75</v>
      </c>
      <c r="G303" s="40">
        <v>7</v>
      </c>
      <c r="H303" s="40">
        <v>7.5</v>
      </c>
      <c r="I303" s="40">
        <v>7.5</v>
      </c>
      <c r="J303" s="40">
        <v>6.35</v>
      </c>
      <c r="K303" s="41">
        <v>7.15</v>
      </c>
    </row>
    <row r="304" spans="2:20" x14ac:dyDescent="0.25">
      <c r="B304" s="118"/>
      <c r="C304" s="119"/>
      <c r="D304" s="121"/>
      <c r="E304" s="11" t="s">
        <v>10</v>
      </c>
      <c r="F304" s="53">
        <v>3</v>
      </c>
      <c r="G304" s="53">
        <v>2.9</v>
      </c>
      <c r="H304" s="53">
        <v>3</v>
      </c>
      <c r="I304" s="53">
        <v>3.2</v>
      </c>
      <c r="J304" s="53">
        <v>2.8</v>
      </c>
      <c r="K304" s="54">
        <v>3.2</v>
      </c>
    </row>
    <row r="305" spans="2:11" x14ac:dyDescent="0.25">
      <c r="B305" s="118"/>
      <c r="C305" s="119"/>
      <c r="D305" s="121"/>
      <c r="E305" s="16" t="s">
        <v>12</v>
      </c>
      <c r="F305" s="53">
        <v>20.9</v>
      </c>
      <c r="G305" s="53">
        <v>19.5</v>
      </c>
      <c r="H305" s="53">
        <v>20.5</v>
      </c>
      <c r="I305" s="53">
        <v>22.8</v>
      </c>
      <c r="J305" s="53">
        <v>22.2</v>
      </c>
      <c r="K305" s="54">
        <v>21.5</v>
      </c>
    </row>
    <row r="306" spans="2:11" ht="15.75" thickBot="1" x14ac:dyDescent="0.3">
      <c r="B306" s="118"/>
      <c r="C306" s="119"/>
      <c r="D306" s="122"/>
      <c r="E306" s="17" t="s">
        <v>13</v>
      </c>
      <c r="F306" s="64">
        <f>F302-0.025</f>
        <v>1.9750000000000001</v>
      </c>
      <c r="G306" s="64">
        <f>G302-0.025</f>
        <v>1.9750000000000001</v>
      </c>
      <c r="H306" s="64">
        <f>H302-0.025</f>
        <v>1.9750000000000001</v>
      </c>
      <c r="I306" s="64">
        <f>I302-0.025</f>
        <v>1.9750000000000001</v>
      </c>
      <c r="J306" s="64">
        <f>J302-0.025</f>
        <v>1.9750000000000001</v>
      </c>
      <c r="K306" s="64">
        <f>K302-0.025</f>
        <v>1.9750000000000001</v>
      </c>
    </row>
    <row r="307" spans="2:11" x14ac:dyDescent="0.25">
      <c r="B307" s="118">
        <f>B303+1</f>
        <v>3</v>
      </c>
      <c r="C307" s="119">
        <v>0.91666666666666663</v>
      </c>
      <c r="D307" s="120">
        <f>D303+1</f>
        <v>43691</v>
      </c>
      <c r="E307" s="8" t="s">
        <v>9</v>
      </c>
      <c r="F307" s="40">
        <v>6.5</v>
      </c>
      <c r="G307" s="40">
        <v>7.1</v>
      </c>
      <c r="H307" s="40">
        <v>7.55</v>
      </c>
      <c r="I307" s="40">
        <v>7.45</v>
      </c>
      <c r="J307" s="40">
        <v>6.2</v>
      </c>
      <c r="K307" s="41">
        <v>7.5</v>
      </c>
    </row>
    <row r="308" spans="2:11" x14ac:dyDescent="0.25">
      <c r="B308" s="118"/>
      <c r="C308" s="119"/>
      <c r="D308" s="121"/>
      <c r="E308" s="11" t="s">
        <v>10</v>
      </c>
      <c r="F308" s="53">
        <v>3</v>
      </c>
      <c r="G308" s="53">
        <v>2.9</v>
      </c>
      <c r="H308" s="53">
        <v>2.9</v>
      </c>
      <c r="I308" s="53">
        <v>3.1</v>
      </c>
      <c r="J308" s="53">
        <v>2.8</v>
      </c>
      <c r="K308" s="54">
        <v>3.2</v>
      </c>
    </row>
    <row r="309" spans="2:11" x14ac:dyDescent="0.25">
      <c r="B309" s="118"/>
      <c r="C309" s="119"/>
      <c r="D309" s="121"/>
      <c r="E309" s="16" t="s">
        <v>12</v>
      </c>
      <c r="F309" s="53">
        <v>20.100000000000001</v>
      </c>
      <c r="G309" s="53">
        <v>18.600000000000001</v>
      </c>
      <c r="H309" s="53">
        <v>18.600000000000001</v>
      </c>
      <c r="I309" s="53">
        <v>22.1</v>
      </c>
      <c r="J309" s="53">
        <v>21.3</v>
      </c>
      <c r="K309" s="54">
        <v>20.5</v>
      </c>
    </row>
    <row r="310" spans="2:11" ht="15.75" thickBot="1" x14ac:dyDescent="0.3">
      <c r="B310" s="118"/>
      <c r="C310" s="119"/>
      <c r="D310" s="122"/>
      <c r="E310" s="17" t="s">
        <v>13</v>
      </c>
      <c r="F310" s="64">
        <f>F306-0.025</f>
        <v>1.9500000000000002</v>
      </c>
      <c r="G310" s="64">
        <f>G306-0.025</f>
        <v>1.9500000000000002</v>
      </c>
      <c r="H310" s="64">
        <f>H306-0.025</f>
        <v>1.9500000000000002</v>
      </c>
      <c r="I310" s="64">
        <f>I306-0.025</f>
        <v>1.9500000000000002</v>
      </c>
      <c r="J310" s="64">
        <f>J306-0.025</f>
        <v>1.9500000000000002</v>
      </c>
      <c r="K310" s="64">
        <f>K306-0.025</f>
        <v>1.9500000000000002</v>
      </c>
    </row>
    <row r="311" spans="2:11" x14ac:dyDescent="0.25">
      <c r="B311" s="118">
        <f>B307+1</f>
        <v>4</v>
      </c>
      <c r="C311" s="119">
        <v>0.79166666666666663</v>
      </c>
      <c r="D311" s="120">
        <f>D307+1</f>
        <v>43692</v>
      </c>
      <c r="E311" s="8" t="s">
        <v>9</v>
      </c>
      <c r="F311" s="40">
        <v>6.6</v>
      </c>
      <c r="G311" s="40">
        <v>7</v>
      </c>
      <c r="H311" s="40">
        <v>7.45</v>
      </c>
      <c r="I311" s="40">
        <v>7.3</v>
      </c>
      <c r="J311" s="40">
        <v>6.2</v>
      </c>
      <c r="K311" s="41">
        <v>7.25</v>
      </c>
    </row>
    <row r="312" spans="2:11" x14ac:dyDescent="0.25">
      <c r="B312" s="118"/>
      <c r="C312" s="119"/>
      <c r="D312" s="121"/>
      <c r="E312" s="11" t="s">
        <v>10</v>
      </c>
      <c r="F312" s="53">
        <v>2.9</v>
      </c>
      <c r="G312" s="53">
        <v>2.8</v>
      </c>
      <c r="H312" s="53">
        <v>2.9</v>
      </c>
      <c r="I312" s="53">
        <v>3</v>
      </c>
      <c r="J312" s="53">
        <v>2.7</v>
      </c>
      <c r="K312" s="54">
        <v>3.1</v>
      </c>
    </row>
    <row r="313" spans="2:11" x14ac:dyDescent="0.25">
      <c r="B313" s="118"/>
      <c r="C313" s="119"/>
      <c r="D313" s="121"/>
      <c r="E313" s="16" t="s">
        <v>12</v>
      </c>
      <c r="F313" s="53">
        <v>20.100000000000001</v>
      </c>
      <c r="G313" s="53">
        <v>18.600000000000001</v>
      </c>
      <c r="H313" s="53">
        <v>18.600000000000001</v>
      </c>
      <c r="I313" s="53">
        <v>22.1</v>
      </c>
      <c r="J313" s="53">
        <v>21.3</v>
      </c>
      <c r="K313" s="54">
        <v>20.5</v>
      </c>
    </row>
    <row r="314" spans="2:11" ht="15.75" thickBot="1" x14ac:dyDescent="0.3">
      <c r="B314" s="118"/>
      <c r="C314" s="119"/>
      <c r="D314" s="122"/>
      <c r="E314" s="17" t="s">
        <v>13</v>
      </c>
      <c r="F314" s="64">
        <f>F310-0.025</f>
        <v>1.9250000000000003</v>
      </c>
      <c r="G314" s="64">
        <f>G310-0.025</f>
        <v>1.9250000000000003</v>
      </c>
      <c r="H314" s="64">
        <f>H310-0.025</f>
        <v>1.9250000000000003</v>
      </c>
      <c r="I314" s="64">
        <f>I310-0.025</f>
        <v>1.9250000000000003</v>
      </c>
      <c r="J314" s="64">
        <f>J310-0.025</f>
        <v>1.9250000000000003</v>
      </c>
      <c r="K314" s="64">
        <f>K310-0.025</f>
        <v>1.9250000000000003</v>
      </c>
    </row>
    <row r="315" spans="2:11" x14ac:dyDescent="0.25">
      <c r="B315" s="118">
        <f>B311+1</f>
        <v>5</v>
      </c>
      <c r="C315" s="119">
        <v>0.89583333333333337</v>
      </c>
      <c r="D315" s="120">
        <f>D311+1</f>
        <v>43693</v>
      </c>
      <c r="E315" s="8" t="s">
        <v>9</v>
      </c>
      <c r="F315" s="40">
        <v>6.4</v>
      </c>
      <c r="G315" s="40">
        <v>6.95</v>
      </c>
      <c r="H315" s="40">
        <v>7.2</v>
      </c>
      <c r="I315" s="40">
        <v>7.1</v>
      </c>
      <c r="J315" s="40">
        <v>6.15</v>
      </c>
      <c r="K315" s="41">
        <v>7.2</v>
      </c>
    </row>
    <row r="316" spans="2:11" x14ac:dyDescent="0.25">
      <c r="B316" s="118"/>
      <c r="C316" s="119"/>
      <c r="D316" s="121"/>
      <c r="E316" s="11" t="s">
        <v>10</v>
      </c>
      <c r="F316" s="53">
        <v>2.9</v>
      </c>
      <c r="G316" s="53">
        <v>2.8</v>
      </c>
      <c r="H316" s="53">
        <v>2.9</v>
      </c>
      <c r="I316" s="53">
        <v>3</v>
      </c>
      <c r="J316" s="53">
        <v>2.7</v>
      </c>
      <c r="K316" s="54">
        <v>3</v>
      </c>
    </row>
    <row r="317" spans="2:11" x14ac:dyDescent="0.25">
      <c r="B317" s="118"/>
      <c r="C317" s="119"/>
      <c r="D317" s="121"/>
      <c r="E317" s="16" t="s">
        <v>12</v>
      </c>
      <c r="F317" s="53">
        <v>19.600000000000001</v>
      </c>
      <c r="G317" s="53">
        <v>18.7</v>
      </c>
      <c r="H317" s="53">
        <v>19</v>
      </c>
      <c r="I317" s="53">
        <v>21.3</v>
      </c>
      <c r="J317" s="53">
        <v>20.8</v>
      </c>
      <c r="K317" s="54">
        <v>20</v>
      </c>
    </row>
    <row r="318" spans="2:11" ht="15.75" thickBot="1" x14ac:dyDescent="0.3">
      <c r="B318" s="118"/>
      <c r="C318" s="119"/>
      <c r="D318" s="122"/>
      <c r="E318" s="17" t="s">
        <v>13</v>
      </c>
      <c r="F318" s="64">
        <f>F314-0.025</f>
        <v>1.9000000000000004</v>
      </c>
      <c r="G318" s="64">
        <f>G314-0.025</f>
        <v>1.9000000000000004</v>
      </c>
      <c r="H318" s="64">
        <f>H314-0.025</f>
        <v>1.9000000000000004</v>
      </c>
      <c r="I318" s="64">
        <f>I314-0.025</f>
        <v>1.9000000000000004</v>
      </c>
      <c r="J318" s="64">
        <f>J314-0.025</f>
        <v>1.9000000000000004</v>
      </c>
      <c r="K318" s="64">
        <f>K314-0.025</f>
        <v>1.9000000000000004</v>
      </c>
    </row>
    <row r="319" spans="2:11" x14ac:dyDescent="0.25">
      <c r="B319" s="118">
        <f>B315+1</f>
        <v>6</v>
      </c>
      <c r="C319" s="119">
        <v>0.70833333333333337</v>
      </c>
      <c r="D319" s="120">
        <f>D315+1</f>
        <v>43694</v>
      </c>
      <c r="E319" s="8" t="s">
        <v>9</v>
      </c>
      <c r="F319" s="40">
        <v>6.3</v>
      </c>
      <c r="G319" s="40">
        <v>6.9</v>
      </c>
      <c r="H319" s="40">
        <v>7.15</v>
      </c>
      <c r="I319" s="40">
        <v>7.05</v>
      </c>
      <c r="J319" s="40">
        <v>6.05</v>
      </c>
      <c r="K319" s="41">
        <v>7.05</v>
      </c>
    </row>
    <row r="320" spans="2:11" x14ac:dyDescent="0.25">
      <c r="B320" s="118"/>
      <c r="C320" s="119"/>
      <c r="D320" s="121"/>
      <c r="E320" s="11" t="s">
        <v>10</v>
      </c>
      <c r="F320" s="53">
        <v>2.8</v>
      </c>
      <c r="G320" s="53">
        <v>2.8</v>
      </c>
      <c r="H320" s="53">
        <v>3</v>
      </c>
      <c r="I320" s="53">
        <v>3</v>
      </c>
      <c r="J320" s="53">
        <v>2.7</v>
      </c>
      <c r="K320" s="54">
        <v>3</v>
      </c>
    </row>
    <row r="321" spans="2:11" x14ac:dyDescent="0.25">
      <c r="B321" s="118"/>
      <c r="C321" s="119"/>
      <c r="D321" s="121"/>
      <c r="E321" s="16" t="s">
        <v>12</v>
      </c>
      <c r="F321" s="53">
        <v>19.600000000000001</v>
      </c>
      <c r="G321" s="53">
        <v>18.7</v>
      </c>
      <c r="H321" s="53">
        <v>19</v>
      </c>
      <c r="I321" s="53">
        <v>21.3</v>
      </c>
      <c r="J321" s="53">
        <v>20.8</v>
      </c>
      <c r="K321" s="54">
        <v>20</v>
      </c>
    </row>
    <row r="322" spans="2:11" ht="15.75" thickBot="1" x14ac:dyDescent="0.3">
      <c r="B322" s="118"/>
      <c r="C322" s="119"/>
      <c r="D322" s="122"/>
      <c r="E322" s="17" t="s">
        <v>13</v>
      </c>
      <c r="F322" s="64">
        <f>F318-0.025</f>
        <v>1.8750000000000004</v>
      </c>
      <c r="G322" s="64">
        <f>G318-0.025</f>
        <v>1.8750000000000004</v>
      </c>
      <c r="H322" s="64">
        <f>H318-0.025</f>
        <v>1.8750000000000004</v>
      </c>
      <c r="I322" s="64">
        <f>I318-0.025</f>
        <v>1.8750000000000004</v>
      </c>
      <c r="J322" s="64">
        <f>J318-0.025</f>
        <v>1.8750000000000004</v>
      </c>
      <c r="K322" s="64">
        <f>K318-0.025</f>
        <v>1.8750000000000004</v>
      </c>
    </row>
    <row r="323" spans="2:11" x14ac:dyDescent="0.25">
      <c r="B323" s="118">
        <f>B319+1</f>
        <v>7</v>
      </c>
      <c r="C323" s="119">
        <v>0.70833333333333337</v>
      </c>
      <c r="D323" s="120">
        <f>D319+1</f>
        <v>43695</v>
      </c>
      <c r="E323" s="8" t="s">
        <v>9</v>
      </c>
      <c r="F323" s="40">
        <v>6.25</v>
      </c>
      <c r="G323" s="40">
        <v>6.9</v>
      </c>
      <c r="H323" s="40">
        <v>7.2</v>
      </c>
      <c r="I323" s="40">
        <v>7.15</v>
      </c>
      <c r="J323" s="40">
        <v>6.05</v>
      </c>
      <c r="K323" s="41">
        <v>7</v>
      </c>
    </row>
    <row r="324" spans="2:11" x14ac:dyDescent="0.25">
      <c r="B324" s="118"/>
      <c r="C324" s="119"/>
      <c r="D324" s="121"/>
      <c r="E324" s="11" t="s">
        <v>10</v>
      </c>
      <c r="F324" s="53">
        <v>2.8</v>
      </c>
      <c r="G324" s="53">
        <v>2.7</v>
      </c>
      <c r="H324" s="53">
        <v>2.8</v>
      </c>
      <c r="I324" s="53">
        <v>2.9</v>
      </c>
      <c r="J324" s="53">
        <v>2.7</v>
      </c>
      <c r="K324" s="54">
        <v>2.9</v>
      </c>
    </row>
    <row r="325" spans="2:11" x14ac:dyDescent="0.25">
      <c r="B325" s="118"/>
      <c r="C325" s="119"/>
      <c r="D325" s="121"/>
      <c r="E325" s="16" t="s">
        <v>12</v>
      </c>
      <c r="F325" s="53">
        <v>19.600000000000001</v>
      </c>
      <c r="G325" s="53">
        <v>18.7</v>
      </c>
      <c r="H325" s="53">
        <v>19</v>
      </c>
      <c r="I325" s="53">
        <v>21.3</v>
      </c>
      <c r="J325" s="53">
        <v>20.8</v>
      </c>
      <c r="K325" s="54">
        <v>20</v>
      </c>
    </row>
    <row r="326" spans="2:11" ht="15.75" thickBot="1" x14ac:dyDescent="0.3">
      <c r="B326" s="118"/>
      <c r="C326" s="119"/>
      <c r="D326" s="122"/>
      <c r="E326" s="17" t="s">
        <v>13</v>
      </c>
      <c r="F326" s="64">
        <f>F322-0.025</f>
        <v>1.8500000000000005</v>
      </c>
      <c r="G326" s="64">
        <f>G322-0.025</f>
        <v>1.8500000000000005</v>
      </c>
      <c r="H326" s="64">
        <f>H322-0.025</f>
        <v>1.8500000000000005</v>
      </c>
      <c r="I326" s="64">
        <f>I322-0.025</f>
        <v>1.8500000000000005</v>
      </c>
      <c r="J326" s="64">
        <f>J322-0.025</f>
        <v>1.8500000000000005</v>
      </c>
      <c r="K326" s="64">
        <f>K322-0.025</f>
        <v>1.8500000000000005</v>
      </c>
    </row>
    <row r="327" spans="2:11" x14ac:dyDescent="0.25">
      <c r="B327" s="118">
        <f>B323+1</f>
        <v>8</v>
      </c>
      <c r="C327" s="119">
        <v>0.70833333333333337</v>
      </c>
      <c r="D327" s="120">
        <f>D323+1</f>
        <v>43696</v>
      </c>
      <c r="E327" s="8" t="s">
        <v>9</v>
      </c>
      <c r="F327" s="40">
        <v>6.35</v>
      </c>
      <c r="G327" s="40">
        <v>6.85</v>
      </c>
      <c r="H327" s="40">
        <v>7.05</v>
      </c>
      <c r="I327" s="40">
        <v>7</v>
      </c>
      <c r="J327" s="40">
        <v>6</v>
      </c>
      <c r="K327" s="41">
        <v>6.95</v>
      </c>
    </row>
    <row r="328" spans="2:11" x14ac:dyDescent="0.25">
      <c r="B328" s="118"/>
      <c r="C328" s="119"/>
      <c r="D328" s="121"/>
      <c r="E328" s="11" t="s">
        <v>10</v>
      </c>
      <c r="F328" s="53">
        <v>2.7</v>
      </c>
      <c r="G328" s="53">
        <v>2.7</v>
      </c>
      <c r="H328" s="53">
        <v>2.8</v>
      </c>
      <c r="I328" s="53">
        <v>2.9</v>
      </c>
      <c r="J328" s="53">
        <v>2.7</v>
      </c>
      <c r="K328" s="54">
        <v>2.9</v>
      </c>
    </row>
    <row r="329" spans="2:11" x14ac:dyDescent="0.25">
      <c r="B329" s="118"/>
      <c r="C329" s="119"/>
      <c r="D329" s="121"/>
      <c r="E329" s="16" t="s">
        <v>12</v>
      </c>
      <c r="F329" s="53">
        <v>19.600000000000001</v>
      </c>
      <c r="G329" s="53">
        <v>18.5</v>
      </c>
      <c r="H329" s="53">
        <v>18.600000000000001</v>
      </c>
      <c r="I329" s="53">
        <v>21.3</v>
      </c>
      <c r="J329" s="53">
        <v>20.7</v>
      </c>
      <c r="K329" s="54">
        <v>19.7</v>
      </c>
    </row>
    <row r="330" spans="2:11" ht="15.75" thickBot="1" x14ac:dyDescent="0.3">
      <c r="B330" s="118"/>
      <c r="C330" s="119"/>
      <c r="D330" s="122"/>
      <c r="E330" s="17" t="s">
        <v>13</v>
      </c>
      <c r="F330" s="64">
        <f>F326-0.025</f>
        <v>1.8250000000000006</v>
      </c>
      <c r="G330" s="64">
        <f>G326-0.025</f>
        <v>1.8250000000000006</v>
      </c>
      <c r="H330" s="64">
        <f>H326-0.025</f>
        <v>1.8250000000000006</v>
      </c>
      <c r="I330" s="64">
        <f>I326-0.025</f>
        <v>1.8250000000000006</v>
      </c>
      <c r="J330" s="64">
        <f>J326-0.025</f>
        <v>1.8250000000000006</v>
      </c>
      <c r="K330" s="64">
        <f>K326-0.025</f>
        <v>1.8250000000000006</v>
      </c>
    </row>
    <row r="331" spans="2:11" x14ac:dyDescent="0.25">
      <c r="B331" s="118">
        <f>B327+1</f>
        <v>9</v>
      </c>
      <c r="C331" s="119">
        <v>0.5625</v>
      </c>
      <c r="D331" s="120">
        <f>D327+1</f>
        <v>43697</v>
      </c>
      <c r="E331" s="8" t="s">
        <v>9</v>
      </c>
      <c r="F331" s="40">
        <v>6.2</v>
      </c>
      <c r="G331" s="40">
        <v>6.8</v>
      </c>
      <c r="H331" s="40">
        <v>6.9</v>
      </c>
      <c r="I331" s="40">
        <v>6.7</v>
      </c>
      <c r="J331" s="40">
        <v>6</v>
      </c>
      <c r="K331" s="41">
        <v>6.95</v>
      </c>
    </row>
    <row r="332" spans="2:11" x14ac:dyDescent="0.25">
      <c r="B332" s="118"/>
      <c r="C332" s="119"/>
      <c r="D332" s="121"/>
      <c r="E332" s="11" t="s">
        <v>10</v>
      </c>
      <c r="F332" s="53">
        <v>2.6</v>
      </c>
      <c r="G332" s="53">
        <v>2.6</v>
      </c>
      <c r="H332" s="53">
        <v>2.6</v>
      </c>
      <c r="I332" s="53">
        <v>2.8</v>
      </c>
      <c r="J332" s="53">
        <v>2.6</v>
      </c>
      <c r="K332" s="54">
        <v>2.7</v>
      </c>
    </row>
    <row r="333" spans="2:11" x14ac:dyDescent="0.25">
      <c r="B333" s="118"/>
      <c r="C333" s="119"/>
      <c r="D333" s="121"/>
      <c r="E333" s="16" t="s">
        <v>12</v>
      </c>
      <c r="F333" s="53">
        <v>19.600000000000001</v>
      </c>
      <c r="G333" s="53">
        <v>18.600000000000001</v>
      </c>
      <c r="H333" s="53">
        <v>18.5</v>
      </c>
      <c r="I333" s="53">
        <v>20.8</v>
      </c>
      <c r="J333" s="53">
        <v>20.5</v>
      </c>
      <c r="K333" s="54">
        <v>19.5</v>
      </c>
    </row>
    <row r="334" spans="2:11" ht="15.75" thickBot="1" x14ac:dyDescent="0.3">
      <c r="B334" s="118"/>
      <c r="C334" s="119"/>
      <c r="D334" s="122"/>
      <c r="E334" s="17" t="s">
        <v>13</v>
      </c>
      <c r="F334" s="64">
        <f>F330-0.025</f>
        <v>1.8000000000000007</v>
      </c>
      <c r="G334" s="64">
        <f>G330-0.025</f>
        <v>1.8000000000000007</v>
      </c>
      <c r="H334" s="64">
        <f>H330-0.025</f>
        <v>1.8000000000000007</v>
      </c>
      <c r="I334" s="64">
        <f>I330-0.025</f>
        <v>1.8000000000000007</v>
      </c>
      <c r="J334" s="64">
        <f>J330-0.025</f>
        <v>1.8000000000000007</v>
      </c>
      <c r="K334" s="64">
        <f>K330-0.025</f>
        <v>1.8000000000000007</v>
      </c>
    </row>
    <row r="335" spans="2:11" x14ac:dyDescent="0.25">
      <c r="B335" s="118">
        <f>B331+1</f>
        <v>10</v>
      </c>
      <c r="C335" s="119">
        <v>0.85416666666666663</v>
      </c>
      <c r="D335" s="120">
        <f>D331+1</f>
        <v>43698</v>
      </c>
      <c r="E335" s="8" t="s">
        <v>9</v>
      </c>
      <c r="F335" s="40">
        <v>6.2</v>
      </c>
      <c r="G335" s="40">
        <v>6.8</v>
      </c>
      <c r="H335" s="40">
        <v>7</v>
      </c>
      <c r="I335" s="40">
        <v>6.7</v>
      </c>
      <c r="J335" s="40">
        <v>6</v>
      </c>
      <c r="K335" s="41">
        <v>6.8</v>
      </c>
    </row>
    <row r="336" spans="2:11" x14ac:dyDescent="0.25">
      <c r="B336" s="118"/>
      <c r="C336" s="119"/>
      <c r="D336" s="121"/>
      <c r="E336" s="11" t="s">
        <v>10</v>
      </c>
      <c r="F336" s="53">
        <v>2.6</v>
      </c>
      <c r="G336" s="53">
        <v>2.6</v>
      </c>
      <c r="H336" s="53">
        <v>2.6</v>
      </c>
      <c r="I336" s="53">
        <v>2.8</v>
      </c>
      <c r="J336" s="53">
        <v>2.6</v>
      </c>
      <c r="K336" s="54">
        <v>2.7</v>
      </c>
    </row>
    <row r="337" spans="2:11" x14ac:dyDescent="0.25">
      <c r="B337" s="118"/>
      <c r="C337" s="119"/>
      <c r="D337" s="121"/>
      <c r="E337" s="16" t="s">
        <v>12</v>
      </c>
      <c r="F337" s="53">
        <v>19.600000000000001</v>
      </c>
      <c r="G337" s="53">
        <v>18.600000000000001</v>
      </c>
      <c r="H337" s="53">
        <v>18.5</v>
      </c>
      <c r="I337" s="53">
        <v>20.8</v>
      </c>
      <c r="J337" s="53">
        <v>20.5</v>
      </c>
      <c r="K337" s="54">
        <v>19.5</v>
      </c>
    </row>
    <row r="338" spans="2:11" ht="15.75" thickBot="1" x14ac:dyDescent="0.3">
      <c r="B338" s="118"/>
      <c r="C338" s="119"/>
      <c r="D338" s="122"/>
      <c r="E338" s="17" t="s">
        <v>13</v>
      </c>
      <c r="F338" s="64">
        <f>F334-0.025</f>
        <v>1.7750000000000008</v>
      </c>
      <c r="G338" s="64">
        <f>G334-0.025</f>
        <v>1.7750000000000008</v>
      </c>
      <c r="H338" s="64">
        <f>H334-0.025</f>
        <v>1.7750000000000008</v>
      </c>
      <c r="I338" s="64">
        <f>I334-0.025</f>
        <v>1.7750000000000008</v>
      </c>
      <c r="J338" s="64">
        <f>J334-0.025</f>
        <v>1.7750000000000008</v>
      </c>
      <c r="K338" s="64">
        <f>K334-0.025</f>
        <v>1.7750000000000008</v>
      </c>
    </row>
    <row r="339" spans="2:11" x14ac:dyDescent="0.25">
      <c r="B339" s="118">
        <f>B335+1</f>
        <v>11</v>
      </c>
      <c r="C339" s="119">
        <v>0.47916666666666669</v>
      </c>
      <c r="D339" s="120">
        <f>D335+1</f>
        <v>43699</v>
      </c>
      <c r="E339" s="8" t="s">
        <v>9</v>
      </c>
      <c r="F339" s="40">
        <v>6.1</v>
      </c>
      <c r="G339" s="40">
        <v>6.9</v>
      </c>
      <c r="H339" s="40">
        <v>7</v>
      </c>
      <c r="I339" s="96">
        <v>6.9</v>
      </c>
      <c r="J339" s="97">
        <v>5.9</v>
      </c>
      <c r="K339" s="41">
        <v>6.6</v>
      </c>
    </row>
    <row r="340" spans="2:11" x14ac:dyDescent="0.25">
      <c r="B340" s="118"/>
      <c r="C340" s="119"/>
      <c r="D340" s="121"/>
      <c r="E340" s="11" t="s">
        <v>10</v>
      </c>
      <c r="F340" s="53">
        <v>2.6</v>
      </c>
      <c r="G340" s="53">
        <v>2.6</v>
      </c>
      <c r="H340" s="53">
        <v>2.6</v>
      </c>
      <c r="I340" s="98">
        <v>2.7</v>
      </c>
      <c r="J340" s="99">
        <v>2.5499999999999998</v>
      </c>
      <c r="K340" s="54">
        <v>2.7</v>
      </c>
    </row>
    <row r="341" spans="2:11" x14ac:dyDescent="0.25">
      <c r="B341" s="118"/>
      <c r="C341" s="119"/>
      <c r="D341" s="121"/>
      <c r="E341" s="16" t="s">
        <v>12</v>
      </c>
      <c r="F341" s="53">
        <v>19.5</v>
      </c>
      <c r="G341" s="53">
        <v>19</v>
      </c>
      <c r="H341" s="53">
        <v>18.899999999999999</v>
      </c>
      <c r="I341" s="53">
        <v>21.2</v>
      </c>
      <c r="J341" s="53">
        <v>21.1</v>
      </c>
      <c r="K341" s="54">
        <v>20.5</v>
      </c>
    </row>
    <row r="342" spans="2:11" ht="15.75" thickBot="1" x14ac:dyDescent="0.3">
      <c r="B342" s="118"/>
      <c r="C342" s="119"/>
      <c r="D342" s="122"/>
      <c r="E342" s="17" t="s">
        <v>13</v>
      </c>
      <c r="F342" s="64">
        <f>F338-0.025</f>
        <v>1.7500000000000009</v>
      </c>
      <c r="G342" s="64">
        <f>G338-0.025</f>
        <v>1.7500000000000009</v>
      </c>
      <c r="H342" s="64">
        <f>H338-0.025</f>
        <v>1.7500000000000009</v>
      </c>
      <c r="I342" s="64">
        <f>I338-0.025</f>
        <v>1.7500000000000009</v>
      </c>
      <c r="J342" s="64">
        <f>J338-0.025</f>
        <v>1.7500000000000009</v>
      </c>
      <c r="K342" s="64">
        <f>K338-0.025</f>
        <v>1.7500000000000009</v>
      </c>
    </row>
    <row r="343" spans="2:11" x14ac:dyDescent="0.25">
      <c r="B343" s="118">
        <f>B339+1</f>
        <v>12</v>
      </c>
      <c r="C343" s="119">
        <v>0.29166666666666669</v>
      </c>
      <c r="D343" s="120">
        <f>D339+1</f>
        <v>43700</v>
      </c>
      <c r="E343" s="8" t="s">
        <v>9</v>
      </c>
      <c r="F343" s="40">
        <v>6.15</v>
      </c>
      <c r="G343" s="40">
        <v>6.8</v>
      </c>
      <c r="H343" s="40">
        <v>7</v>
      </c>
      <c r="I343" s="40">
        <v>6.6</v>
      </c>
      <c r="J343" s="40">
        <v>5.9</v>
      </c>
      <c r="K343" s="41">
        <v>6.6</v>
      </c>
    </row>
    <row r="344" spans="2:11" x14ac:dyDescent="0.25">
      <c r="B344" s="118"/>
      <c r="C344" s="119"/>
      <c r="D344" s="121"/>
      <c r="E344" s="11" t="s">
        <v>10</v>
      </c>
      <c r="F344" s="53">
        <v>2.7</v>
      </c>
      <c r="G344" s="53">
        <v>2.7</v>
      </c>
      <c r="H344" s="53">
        <v>2.7</v>
      </c>
      <c r="I344" s="53">
        <v>2.8</v>
      </c>
      <c r="J344" s="53">
        <v>2.6</v>
      </c>
      <c r="K344" s="54">
        <v>2.8</v>
      </c>
    </row>
    <row r="345" spans="2:11" x14ac:dyDescent="0.25">
      <c r="B345" s="118"/>
      <c r="C345" s="119"/>
      <c r="D345" s="121"/>
      <c r="E345" s="16" t="s">
        <v>12</v>
      </c>
      <c r="F345" s="53">
        <v>20.8</v>
      </c>
      <c r="G345" s="53">
        <v>19.100000000000001</v>
      </c>
      <c r="H345" s="53">
        <v>19.899999999999999</v>
      </c>
      <c r="I345" s="53">
        <v>22.2</v>
      </c>
      <c r="J345" s="53">
        <v>21.2</v>
      </c>
      <c r="K345" s="54">
        <v>20.5</v>
      </c>
    </row>
    <row r="346" spans="2:11" ht="15.75" thickBot="1" x14ac:dyDescent="0.3">
      <c r="B346" s="118"/>
      <c r="C346" s="119"/>
      <c r="D346" s="122"/>
      <c r="E346" s="17" t="s">
        <v>13</v>
      </c>
      <c r="F346" s="64">
        <f>F342-0.025</f>
        <v>1.725000000000001</v>
      </c>
      <c r="G346" s="64">
        <f>G342-0.025</f>
        <v>1.725000000000001</v>
      </c>
      <c r="H346" s="64">
        <f>H342-0.025</f>
        <v>1.725000000000001</v>
      </c>
      <c r="I346" s="64">
        <f>I342-0.025</f>
        <v>1.725000000000001</v>
      </c>
      <c r="J346" s="64">
        <f>J342-0.025</f>
        <v>1.725000000000001</v>
      </c>
      <c r="K346" s="64">
        <f>K342-0.025</f>
        <v>1.725000000000001</v>
      </c>
    </row>
    <row r="347" spans="2:11" x14ac:dyDescent="0.25">
      <c r="B347" s="118">
        <f>B343+1</f>
        <v>13</v>
      </c>
      <c r="C347" s="119">
        <v>0.47916666666666669</v>
      </c>
      <c r="D347" s="120">
        <f>D343+1</f>
        <v>43701</v>
      </c>
      <c r="E347" s="8" t="s">
        <v>9</v>
      </c>
      <c r="F347" s="40">
        <v>6.1</v>
      </c>
      <c r="G347" s="40">
        <v>6.9</v>
      </c>
      <c r="H347" s="40">
        <v>7</v>
      </c>
      <c r="I347" s="40">
        <v>6.85</v>
      </c>
      <c r="J347" s="40">
        <v>5.85</v>
      </c>
      <c r="K347" s="41">
        <v>6.5</v>
      </c>
    </row>
    <row r="348" spans="2:11" x14ac:dyDescent="0.25">
      <c r="B348" s="118"/>
      <c r="C348" s="119"/>
      <c r="D348" s="121"/>
      <c r="E348" s="11" t="s">
        <v>10</v>
      </c>
      <c r="F348" s="53">
        <v>2.6</v>
      </c>
      <c r="G348" s="53">
        <v>2.7</v>
      </c>
      <c r="H348" s="53">
        <v>2.6</v>
      </c>
      <c r="I348" s="53">
        <v>2.7</v>
      </c>
      <c r="J348" s="53">
        <v>2.6</v>
      </c>
      <c r="K348" s="54">
        <v>2.7</v>
      </c>
    </row>
    <row r="349" spans="2:11" x14ac:dyDescent="0.25">
      <c r="B349" s="118"/>
      <c r="C349" s="119"/>
      <c r="D349" s="121"/>
      <c r="E349" s="16" t="s">
        <v>12</v>
      </c>
      <c r="F349" s="53">
        <v>20.9</v>
      </c>
      <c r="G349" s="53">
        <v>19.2</v>
      </c>
      <c r="H349" s="53">
        <v>19.899999999999999</v>
      </c>
      <c r="I349" s="53">
        <v>22.5</v>
      </c>
      <c r="J349" s="167">
        <v>21.3</v>
      </c>
      <c r="K349" s="168">
        <v>20.5</v>
      </c>
    </row>
    <row r="350" spans="2:11" ht="15.75" thickBot="1" x14ac:dyDescent="0.3">
      <c r="B350" s="118"/>
      <c r="C350" s="119"/>
      <c r="D350" s="122"/>
      <c r="E350" s="17" t="s">
        <v>13</v>
      </c>
      <c r="F350" s="64">
        <f>F346-0.025</f>
        <v>1.7000000000000011</v>
      </c>
      <c r="G350" s="64">
        <f>G346-0.025</f>
        <v>1.7000000000000011</v>
      </c>
      <c r="H350" s="64">
        <f>H346-0.025</f>
        <v>1.7000000000000011</v>
      </c>
      <c r="I350" s="64">
        <f>I346-0.025</f>
        <v>1.7000000000000011</v>
      </c>
      <c r="J350" s="64">
        <f>J346-0.025</f>
        <v>1.7000000000000011</v>
      </c>
      <c r="K350" s="64">
        <f>K346-0.025</f>
        <v>1.7000000000000011</v>
      </c>
    </row>
    <row r="351" spans="2:11" x14ac:dyDescent="0.25">
      <c r="B351" s="118">
        <f>B347+1</f>
        <v>14</v>
      </c>
      <c r="C351" s="119">
        <v>0.6875</v>
      </c>
      <c r="D351" s="120">
        <f>D347+1</f>
        <v>43702</v>
      </c>
      <c r="E351" s="8" t="s">
        <v>9</v>
      </c>
      <c r="F351" s="40">
        <v>6</v>
      </c>
      <c r="G351" s="40">
        <v>6.8</v>
      </c>
      <c r="H351" s="40">
        <v>7</v>
      </c>
      <c r="I351" s="40">
        <v>6.75</v>
      </c>
      <c r="J351" s="40">
        <v>5.8</v>
      </c>
      <c r="K351" s="41">
        <v>6.45</v>
      </c>
    </row>
    <row r="352" spans="2:11" x14ac:dyDescent="0.25">
      <c r="B352" s="118"/>
      <c r="C352" s="119"/>
      <c r="D352" s="121"/>
      <c r="E352" s="11" t="s">
        <v>10</v>
      </c>
      <c r="F352" s="53">
        <v>2.6</v>
      </c>
      <c r="G352" s="53">
        <v>2.6</v>
      </c>
      <c r="H352" s="53">
        <v>2.6</v>
      </c>
      <c r="I352" s="53">
        <v>2.7</v>
      </c>
      <c r="J352" s="53">
        <v>2.6</v>
      </c>
      <c r="K352" s="54">
        <v>2.7</v>
      </c>
    </row>
    <row r="353" spans="2:11" x14ac:dyDescent="0.25">
      <c r="B353" s="118"/>
      <c r="C353" s="119"/>
      <c r="D353" s="121"/>
      <c r="E353" s="16" t="s">
        <v>12</v>
      </c>
      <c r="F353" s="53">
        <v>20.9</v>
      </c>
      <c r="G353" s="53">
        <v>19.2</v>
      </c>
      <c r="H353" s="53">
        <v>19.899999999999999</v>
      </c>
      <c r="I353" s="53">
        <v>22.5</v>
      </c>
      <c r="J353" s="167">
        <v>21.3</v>
      </c>
      <c r="K353" s="168">
        <v>20.5</v>
      </c>
    </row>
    <row r="354" spans="2:11" ht="15.75" thickBot="1" x14ac:dyDescent="0.3">
      <c r="B354" s="118"/>
      <c r="C354" s="119"/>
      <c r="D354" s="122"/>
      <c r="E354" s="17" t="s">
        <v>13</v>
      </c>
      <c r="F354" s="64">
        <f>F350-0.025</f>
        <v>1.6750000000000012</v>
      </c>
      <c r="G354" s="64">
        <f>G350-0.025</f>
        <v>1.6750000000000012</v>
      </c>
      <c r="H354" s="64">
        <f>H350-0.025</f>
        <v>1.6750000000000012</v>
      </c>
      <c r="I354" s="64">
        <f>I350-0.025</f>
        <v>1.6750000000000012</v>
      </c>
      <c r="J354" s="64">
        <f>J350-0.025</f>
        <v>1.6750000000000012</v>
      </c>
      <c r="K354" s="64">
        <f>K350-0.025</f>
        <v>1.6750000000000012</v>
      </c>
    </row>
    <row r="355" spans="2:11" x14ac:dyDescent="0.25">
      <c r="B355" s="118">
        <f>B351+1</f>
        <v>15</v>
      </c>
      <c r="C355" s="119">
        <v>0.6875</v>
      </c>
      <c r="D355" s="120">
        <f>D351+1</f>
        <v>43703</v>
      </c>
      <c r="E355" s="8" t="s">
        <v>9</v>
      </c>
      <c r="F355" s="40">
        <v>6</v>
      </c>
      <c r="G355" s="40">
        <v>6.7</v>
      </c>
      <c r="H355" s="40">
        <v>7</v>
      </c>
      <c r="I355" s="40">
        <v>6.7</v>
      </c>
      <c r="J355" s="40">
        <v>5.8</v>
      </c>
      <c r="K355" s="41">
        <v>6.4</v>
      </c>
    </row>
    <row r="356" spans="2:11" x14ac:dyDescent="0.25">
      <c r="B356" s="118"/>
      <c r="C356" s="119"/>
      <c r="D356" s="121"/>
      <c r="E356" s="11" t="s">
        <v>10</v>
      </c>
      <c r="F356" s="53">
        <v>2.6</v>
      </c>
      <c r="G356" s="53">
        <v>2.6</v>
      </c>
      <c r="H356" s="53">
        <v>2.6</v>
      </c>
      <c r="I356" s="53">
        <v>2.7</v>
      </c>
      <c r="J356" s="53">
        <v>2.6</v>
      </c>
      <c r="K356" s="54">
        <v>2.7</v>
      </c>
    </row>
    <row r="357" spans="2:11" x14ac:dyDescent="0.25">
      <c r="B357" s="118"/>
      <c r="C357" s="119"/>
      <c r="D357" s="121"/>
      <c r="E357" s="16" t="s">
        <v>12</v>
      </c>
      <c r="F357" s="53">
        <v>20.9</v>
      </c>
      <c r="G357" s="53">
        <v>19.2</v>
      </c>
      <c r="H357" s="53">
        <v>19.899999999999999</v>
      </c>
      <c r="I357" s="53">
        <v>22.5</v>
      </c>
      <c r="J357" s="167">
        <v>21.3</v>
      </c>
      <c r="K357" s="168">
        <v>20.5</v>
      </c>
    </row>
    <row r="358" spans="2:11" ht="15.75" thickBot="1" x14ac:dyDescent="0.3">
      <c r="B358" s="118"/>
      <c r="C358" s="119"/>
      <c r="D358" s="122"/>
      <c r="E358" s="17" t="s">
        <v>13</v>
      </c>
      <c r="F358" s="64">
        <f>F354-0.025</f>
        <v>1.6500000000000012</v>
      </c>
      <c r="G358" s="64">
        <f>G354-0.025</f>
        <v>1.6500000000000012</v>
      </c>
      <c r="H358" s="64">
        <f>H354-0.025</f>
        <v>1.6500000000000012</v>
      </c>
      <c r="I358" s="64">
        <f>I354-0.025</f>
        <v>1.6500000000000012</v>
      </c>
      <c r="J358" s="64">
        <f>J354-0.025</f>
        <v>1.6500000000000012</v>
      </c>
      <c r="K358" s="64">
        <f>K354-0.025</f>
        <v>1.6500000000000012</v>
      </c>
    </row>
    <row r="359" spans="2:11" x14ac:dyDescent="0.25">
      <c r="B359" s="118">
        <f>B355+1</f>
        <v>16</v>
      </c>
      <c r="C359" s="119">
        <v>0.83333333333333337</v>
      </c>
      <c r="D359" s="120">
        <f>D355+1</f>
        <v>43704</v>
      </c>
      <c r="E359" s="8" t="s">
        <v>9</v>
      </c>
      <c r="F359" s="40">
        <v>5.9</v>
      </c>
      <c r="G359" s="40">
        <v>6.65</v>
      </c>
      <c r="H359" s="40">
        <v>6.95</v>
      </c>
      <c r="I359" s="40">
        <v>6.7</v>
      </c>
      <c r="J359" s="40">
        <v>5.8</v>
      </c>
      <c r="K359" s="41">
        <v>6.3</v>
      </c>
    </row>
    <row r="360" spans="2:11" x14ac:dyDescent="0.25">
      <c r="B360" s="118"/>
      <c r="C360" s="119"/>
      <c r="D360" s="121"/>
      <c r="E360" s="11" t="s">
        <v>10</v>
      </c>
      <c r="F360" s="53">
        <v>2.6</v>
      </c>
      <c r="G360" s="53">
        <v>2.6</v>
      </c>
      <c r="H360" s="53">
        <v>2.6</v>
      </c>
      <c r="I360" s="53">
        <v>2.7</v>
      </c>
      <c r="J360" s="53">
        <v>2.5</v>
      </c>
      <c r="K360" s="54">
        <v>2.7</v>
      </c>
    </row>
    <row r="361" spans="2:11" x14ac:dyDescent="0.25">
      <c r="B361" s="118"/>
      <c r="C361" s="119"/>
      <c r="D361" s="121"/>
      <c r="E361" s="16" t="s">
        <v>12</v>
      </c>
      <c r="F361" s="53">
        <v>20.8</v>
      </c>
      <c r="G361" s="53">
        <v>19.3</v>
      </c>
      <c r="H361" s="53">
        <v>20.3</v>
      </c>
      <c r="I361" s="53">
        <v>22.6</v>
      </c>
      <c r="J361" s="53">
        <v>21.9</v>
      </c>
      <c r="K361" s="54">
        <v>20.2</v>
      </c>
    </row>
    <row r="362" spans="2:11" ht="15.75" thickBot="1" x14ac:dyDescent="0.3">
      <c r="B362" s="118"/>
      <c r="C362" s="119"/>
      <c r="D362" s="122"/>
      <c r="E362" s="17" t="s">
        <v>13</v>
      </c>
      <c r="F362" s="64">
        <f>F358-0.025</f>
        <v>1.6250000000000013</v>
      </c>
      <c r="G362" s="64">
        <f>G358-0.025</f>
        <v>1.6250000000000013</v>
      </c>
      <c r="H362" s="64">
        <f>H358-0.025</f>
        <v>1.6250000000000013</v>
      </c>
      <c r="I362" s="64">
        <f>I358-0.025</f>
        <v>1.6250000000000013</v>
      </c>
      <c r="J362" s="64">
        <f>J358-0.025</f>
        <v>1.6250000000000013</v>
      </c>
      <c r="K362" s="64">
        <f>K358-0.025</f>
        <v>1.6250000000000013</v>
      </c>
    </row>
    <row r="363" spans="2:11" x14ac:dyDescent="0.25">
      <c r="B363" s="118">
        <f>B359+1</f>
        <v>17</v>
      </c>
      <c r="C363" s="119">
        <v>0.6875</v>
      </c>
      <c r="D363" s="120">
        <f>D359+1</f>
        <v>43705</v>
      </c>
      <c r="E363" s="8" t="s">
        <v>9</v>
      </c>
      <c r="F363" s="40">
        <v>6</v>
      </c>
      <c r="G363" s="40">
        <v>6.6</v>
      </c>
      <c r="H363" s="40">
        <v>6.9</v>
      </c>
      <c r="I363" s="40">
        <v>6.7</v>
      </c>
      <c r="J363" s="40">
        <v>5.8</v>
      </c>
      <c r="K363" s="41">
        <v>6.3</v>
      </c>
    </row>
    <row r="364" spans="2:11" x14ac:dyDescent="0.25">
      <c r="B364" s="118"/>
      <c r="C364" s="119"/>
      <c r="D364" s="121"/>
      <c r="E364" s="11" t="s">
        <v>10</v>
      </c>
      <c r="F364" s="53">
        <v>2.6</v>
      </c>
      <c r="G364" s="53">
        <v>2.6</v>
      </c>
      <c r="H364" s="53">
        <v>2.6</v>
      </c>
      <c r="I364" s="53">
        <v>2.7</v>
      </c>
      <c r="J364" s="53">
        <v>2.5</v>
      </c>
      <c r="K364" s="54">
        <v>2.7</v>
      </c>
    </row>
    <row r="365" spans="2:11" x14ac:dyDescent="0.25">
      <c r="B365" s="118"/>
      <c r="C365" s="119"/>
      <c r="D365" s="121"/>
      <c r="E365" s="16" t="s">
        <v>12</v>
      </c>
      <c r="F365" s="53">
        <v>20.8</v>
      </c>
      <c r="G365" s="53">
        <v>19.3</v>
      </c>
      <c r="H365" s="53">
        <v>20.3</v>
      </c>
      <c r="I365" s="53">
        <v>22.6</v>
      </c>
      <c r="J365" s="53">
        <v>21.9</v>
      </c>
      <c r="K365" s="54">
        <v>20.2</v>
      </c>
    </row>
    <row r="366" spans="2:11" ht="15.75" thickBot="1" x14ac:dyDescent="0.3">
      <c r="B366" s="118"/>
      <c r="C366" s="119"/>
      <c r="D366" s="122"/>
      <c r="E366" s="17" t="s">
        <v>13</v>
      </c>
      <c r="F366" s="64">
        <f>F362-0.025</f>
        <v>1.6000000000000014</v>
      </c>
      <c r="G366" s="64">
        <f>G362-0.025</f>
        <v>1.6000000000000014</v>
      </c>
      <c r="H366" s="64">
        <f>H362-0.025</f>
        <v>1.6000000000000014</v>
      </c>
      <c r="I366" s="64">
        <f>I362-0.025</f>
        <v>1.6000000000000014</v>
      </c>
      <c r="J366" s="64">
        <f>J362-0.025</f>
        <v>1.6000000000000014</v>
      </c>
      <c r="K366" s="64">
        <f>K362-0.025</f>
        <v>1.6000000000000014</v>
      </c>
    </row>
    <row r="367" spans="2:11" x14ac:dyDescent="0.25">
      <c r="B367" s="118">
        <f>B363+1</f>
        <v>18</v>
      </c>
      <c r="C367" s="119">
        <v>0.83333333333333337</v>
      </c>
      <c r="D367" s="120">
        <f>D363+1</f>
        <v>43706</v>
      </c>
      <c r="E367" s="8" t="s">
        <v>9</v>
      </c>
      <c r="F367" s="40">
        <v>6</v>
      </c>
      <c r="G367" s="40">
        <v>6.6</v>
      </c>
      <c r="H367" s="40">
        <v>6.8</v>
      </c>
      <c r="I367" s="40">
        <v>6.6</v>
      </c>
      <c r="J367" s="40">
        <v>5.9</v>
      </c>
      <c r="K367" s="41">
        <v>6.25</v>
      </c>
    </row>
    <row r="368" spans="2:11" x14ac:dyDescent="0.25">
      <c r="B368" s="118"/>
      <c r="C368" s="119"/>
      <c r="D368" s="121"/>
      <c r="E368" s="11" t="s">
        <v>10</v>
      </c>
      <c r="F368" s="53">
        <v>2.6</v>
      </c>
      <c r="G368" s="53">
        <v>2.6</v>
      </c>
      <c r="H368" s="53">
        <v>2.6</v>
      </c>
      <c r="I368" s="53">
        <v>2.7</v>
      </c>
      <c r="J368" s="53">
        <v>2.5</v>
      </c>
      <c r="K368" s="54">
        <v>2.7</v>
      </c>
    </row>
    <row r="369" spans="2:11" x14ac:dyDescent="0.25">
      <c r="B369" s="118"/>
      <c r="C369" s="119"/>
      <c r="D369" s="121"/>
      <c r="E369" s="16" t="s">
        <v>12</v>
      </c>
      <c r="F369" s="53">
        <v>20.399999999999999</v>
      </c>
      <c r="G369" s="53">
        <v>20.100000000000001</v>
      </c>
      <c r="H369" s="53">
        <v>21</v>
      </c>
      <c r="I369" s="53">
        <v>23</v>
      </c>
      <c r="J369" s="53">
        <v>22</v>
      </c>
      <c r="K369" s="54">
        <v>21.8</v>
      </c>
    </row>
    <row r="370" spans="2:11" ht="15.75" thickBot="1" x14ac:dyDescent="0.3">
      <c r="B370" s="118"/>
      <c r="C370" s="119"/>
      <c r="D370" s="122"/>
      <c r="E370" s="17" t="s">
        <v>13</v>
      </c>
      <c r="F370" s="64">
        <f>F366-0.025</f>
        <v>1.5750000000000015</v>
      </c>
      <c r="G370" s="64">
        <f>G366-0.025</f>
        <v>1.5750000000000015</v>
      </c>
      <c r="H370" s="64">
        <f>H366-0.025</f>
        <v>1.5750000000000015</v>
      </c>
      <c r="I370" s="64">
        <f>I366-0.025</f>
        <v>1.5750000000000015</v>
      </c>
      <c r="J370" s="64">
        <f>J366-0.025</f>
        <v>1.5750000000000015</v>
      </c>
      <c r="K370" s="64">
        <f>K366-0.025</f>
        <v>1.5750000000000015</v>
      </c>
    </row>
    <row r="371" spans="2:11" x14ac:dyDescent="0.25">
      <c r="B371" s="118">
        <f>B367+1</f>
        <v>19</v>
      </c>
      <c r="C371" s="119">
        <v>0.83333333333333337</v>
      </c>
      <c r="D371" s="120">
        <f>D367+1</f>
        <v>43707</v>
      </c>
      <c r="E371" s="8" t="s">
        <v>9</v>
      </c>
      <c r="F371" s="40">
        <v>5.9</v>
      </c>
      <c r="G371" s="40">
        <v>6.4</v>
      </c>
      <c r="H371" s="40">
        <v>6.7</v>
      </c>
      <c r="I371" s="40">
        <v>6.5</v>
      </c>
      <c r="J371" s="40">
        <v>5.7</v>
      </c>
      <c r="K371" s="41">
        <v>6.25</v>
      </c>
    </row>
    <row r="372" spans="2:11" x14ac:dyDescent="0.25">
      <c r="B372" s="118"/>
      <c r="C372" s="119"/>
      <c r="D372" s="121"/>
      <c r="E372" s="11" t="s">
        <v>10</v>
      </c>
      <c r="F372" s="53">
        <v>2.6</v>
      </c>
      <c r="G372" s="53">
        <v>2.6</v>
      </c>
      <c r="H372" s="53">
        <v>2.5</v>
      </c>
      <c r="I372" s="53">
        <v>2.6</v>
      </c>
      <c r="J372" s="53">
        <v>2.5</v>
      </c>
      <c r="K372" s="54">
        <v>2.7</v>
      </c>
    </row>
    <row r="373" spans="2:11" x14ac:dyDescent="0.25">
      <c r="B373" s="118"/>
      <c r="C373" s="119"/>
      <c r="D373" s="121"/>
      <c r="E373" s="16" t="s">
        <v>12</v>
      </c>
      <c r="F373" s="53">
        <v>20.9</v>
      </c>
      <c r="G373" s="53">
        <v>19.2</v>
      </c>
      <c r="H373" s="53">
        <v>19.899999999999999</v>
      </c>
      <c r="I373" s="53">
        <v>22.5</v>
      </c>
      <c r="J373" s="167">
        <v>21.3</v>
      </c>
      <c r="K373" s="168">
        <v>20.5</v>
      </c>
    </row>
    <row r="374" spans="2:11" ht="15.75" thickBot="1" x14ac:dyDescent="0.3">
      <c r="B374" s="118"/>
      <c r="C374" s="119"/>
      <c r="D374" s="122"/>
      <c r="E374" s="17" t="s">
        <v>13</v>
      </c>
      <c r="F374" s="64">
        <f>F370-0.025</f>
        <v>1.5500000000000016</v>
      </c>
      <c r="G374" s="64">
        <f>G370-0.025</f>
        <v>1.5500000000000016</v>
      </c>
      <c r="H374" s="64">
        <f>H370-0.025</f>
        <v>1.5500000000000016</v>
      </c>
      <c r="I374" s="64">
        <f>I370-0.025</f>
        <v>1.5500000000000016</v>
      </c>
      <c r="J374" s="64">
        <f>J370-0.025</f>
        <v>1.5500000000000016</v>
      </c>
      <c r="K374" s="64">
        <f>K370-0.025</f>
        <v>1.5500000000000016</v>
      </c>
    </row>
    <row r="375" spans="2:11" x14ac:dyDescent="0.25">
      <c r="B375" s="118">
        <f>B371+1</f>
        <v>20</v>
      </c>
      <c r="C375" s="119">
        <v>0.83333333333333337</v>
      </c>
      <c r="D375" s="120">
        <f>D371+1</f>
        <v>43708</v>
      </c>
      <c r="E375" s="8" t="s">
        <v>9</v>
      </c>
      <c r="F375" s="40">
        <v>5.85</v>
      </c>
      <c r="G375" s="40">
        <v>6.35</v>
      </c>
      <c r="H375" s="40">
        <v>6.65</v>
      </c>
      <c r="I375" s="40">
        <v>6.4</v>
      </c>
      <c r="J375" s="40">
        <v>5.65</v>
      </c>
      <c r="K375" s="41">
        <v>6.15</v>
      </c>
    </row>
    <row r="376" spans="2:11" x14ac:dyDescent="0.25">
      <c r="B376" s="118"/>
      <c r="C376" s="119"/>
      <c r="D376" s="121"/>
      <c r="E376" s="11" t="s">
        <v>10</v>
      </c>
      <c r="F376" s="53">
        <v>2.6</v>
      </c>
      <c r="G376" s="53">
        <v>2.6</v>
      </c>
      <c r="H376" s="53">
        <v>2.5</v>
      </c>
      <c r="I376" s="53">
        <v>2.6</v>
      </c>
      <c r="J376" s="53">
        <v>2.5</v>
      </c>
      <c r="K376" s="54">
        <v>2.7</v>
      </c>
    </row>
    <row r="377" spans="2:11" x14ac:dyDescent="0.25">
      <c r="B377" s="118"/>
      <c r="C377" s="119"/>
      <c r="D377" s="121"/>
      <c r="E377" s="16" t="s">
        <v>12</v>
      </c>
      <c r="F377" s="53">
        <v>20.9</v>
      </c>
      <c r="G377" s="53">
        <v>19.2</v>
      </c>
      <c r="H377" s="53">
        <v>19.899999999999999</v>
      </c>
      <c r="I377" s="53">
        <v>22.5</v>
      </c>
      <c r="J377" s="167">
        <v>21.3</v>
      </c>
      <c r="K377" s="168">
        <v>20.5</v>
      </c>
    </row>
    <row r="378" spans="2:11" ht="15.75" thickBot="1" x14ac:dyDescent="0.3">
      <c r="B378" s="118"/>
      <c r="C378" s="119"/>
      <c r="D378" s="122"/>
      <c r="E378" s="17" t="s">
        <v>13</v>
      </c>
      <c r="F378" s="64">
        <f>F374-0.025</f>
        <v>1.5250000000000017</v>
      </c>
      <c r="G378" s="64">
        <f>G374-0.025</f>
        <v>1.5250000000000017</v>
      </c>
      <c r="H378" s="64">
        <f>H374-0.025</f>
        <v>1.5250000000000017</v>
      </c>
      <c r="I378" s="64">
        <f>I374-0.025</f>
        <v>1.5250000000000017</v>
      </c>
      <c r="J378" s="64">
        <f>J374-0.025</f>
        <v>1.5250000000000017</v>
      </c>
      <c r="K378" s="64">
        <f>K374-0.025</f>
        <v>1.5250000000000017</v>
      </c>
    </row>
    <row r="380" spans="2:11" s="79" customFormat="1" x14ac:dyDescent="0.25">
      <c r="B380" s="78"/>
    </row>
    <row r="381" spans="2:11" s="79" customFormat="1" x14ac:dyDescent="0.25">
      <c r="B381" s="78"/>
    </row>
    <row r="382" spans="2:11" s="79" customFormat="1" x14ac:dyDescent="0.25">
      <c r="B382" s="78"/>
    </row>
    <row r="384" spans="2:11" x14ac:dyDescent="0.25">
      <c r="B384" s="117"/>
    </row>
    <row r="385" spans="2:2" x14ac:dyDescent="0.25">
      <c r="B385" s="117"/>
    </row>
    <row r="386" spans="2:2" x14ac:dyDescent="0.25">
      <c r="B386" s="117"/>
    </row>
    <row r="387" spans="2:2" x14ac:dyDescent="0.25">
      <c r="B387" s="117"/>
    </row>
    <row r="388" spans="2:2" x14ac:dyDescent="0.25">
      <c r="B388" s="117"/>
    </row>
    <row r="389" spans="2:2" x14ac:dyDescent="0.25">
      <c r="B389" s="117"/>
    </row>
    <row r="390" spans="2:2" x14ac:dyDescent="0.25">
      <c r="B390" s="117"/>
    </row>
    <row r="391" spans="2:2" x14ac:dyDescent="0.25">
      <c r="B391" s="117"/>
    </row>
    <row r="392" spans="2:2" x14ac:dyDescent="0.25">
      <c r="B392" s="117"/>
    </row>
    <row r="393" spans="2:2" x14ac:dyDescent="0.25">
      <c r="B393" s="117"/>
    </row>
    <row r="394" spans="2:2" x14ac:dyDescent="0.25">
      <c r="B394" s="117"/>
    </row>
    <row r="395" spans="2:2" x14ac:dyDescent="0.25">
      <c r="B395" s="117"/>
    </row>
    <row r="396" spans="2:2" x14ac:dyDescent="0.25">
      <c r="B396" s="117"/>
    </row>
    <row r="397" spans="2:2" x14ac:dyDescent="0.25">
      <c r="B397" s="117"/>
    </row>
    <row r="398" spans="2:2" x14ac:dyDescent="0.25">
      <c r="B398" s="117"/>
    </row>
    <row r="399" spans="2:2" x14ac:dyDescent="0.25">
      <c r="B399" s="117"/>
    </row>
    <row r="400" spans="2:2" x14ac:dyDescent="0.25">
      <c r="B400" s="117"/>
    </row>
    <row r="401" spans="2:2" x14ac:dyDescent="0.25">
      <c r="B401" s="117"/>
    </row>
    <row r="402" spans="2:2" x14ac:dyDescent="0.25">
      <c r="B402" s="117"/>
    </row>
    <row r="403" spans="2:2" x14ac:dyDescent="0.25">
      <c r="B403" s="117"/>
    </row>
    <row r="404" spans="2:2" x14ac:dyDescent="0.25">
      <c r="B404" s="117"/>
    </row>
    <row r="405" spans="2:2" x14ac:dyDescent="0.25">
      <c r="B405" s="117"/>
    </row>
    <row r="406" spans="2:2" x14ac:dyDescent="0.25">
      <c r="B406" s="117"/>
    </row>
    <row r="407" spans="2:2" x14ac:dyDescent="0.25">
      <c r="B407" s="117"/>
    </row>
    <row r="408" spans="2:2" x14ac:dyDescent="0.25">
      <c r="B408" s="117"/>
    </row>
    <row r="409" spans="2:2" x14ac:dyDescent="0.25">
      <c r="B409" s="117"/>
    </row>
    <row r="410" spans="2:2" x14ac:dyDescent="0.25">
      <c r="B410" s="117"/>
    </row>
    <row r="411" spans="2:2" x14ac:dyDescent="0.25">
      <c r="B411" s="117"/>
    </row>
    <row r="412" spans="2:2" x14ac:dyDescent="0.25">
      <c r="B412" s="117"/>
    </row>
    <row r="413" spans="2:2" x14ac:dyDescent="0.25">
      <c r="B413" s="117"/>
    </row>
    <row r="414" spans="2:2" x14ac:dyDescent="0.25">
      <c r="B414" s="117"/>
    </row>
    <row r="415" spans="2:2" x14ac:dyDescent="0.25">
      <c r="B415" s="117"/>
    </row>
    <row r="416" spans="2:2" x14ac:dyDescent="0.25">
      <c r="B416" s="117"/>
    </row>
    <row r="417" spans="2:2" x14ac:dyDescent="0.25">
      <c r="B417" s="117"/>
    </row>
    <row r="418" spans="2:2" x14ac:dyDescent="0.25">
      <c r="B418" s="117"/>
    </row>
    <row r="419" spans="2:2" x14ac:dyDescent="0.25">
      <c r="B419" s="117"/>
    </row>
    <row r="420" spans="2:2" x14ac:dyDescent="0.25">
      <c r="B420" s="117"/>
    </row>
    <row r="421" spans="2:2" x14ac:dyDescent="0.25">
      <c r="B421" s="117"/>
    </row>
    <row r="422" spans="2:2" x14ac:dyDescent="0.25">
      <c r="B422" s="117"/>
    </row>
    <row r="423" spans="2:2" x14ac:dyDescent="0.25">
      <c r="B423" s="117"/>
    </row>
    <row r="424" spans="2:2" x14ac:dyDescent="0.25">
      <c r="B424" s="117"/>
    </row>
    <row r="425" spans="2:2" x14ac:dyDescent="0.25">
      <c r="B425" s="117"/>
    </row>
    <row r="426" spans="2:2" x14ac:dyDescent="0.25">
      <c r="B426" s="117"/>
    </row>
    <row r="427" spans="2:2" x14ac:dyDescent="0.25">
      <c r="B427" s="117"/>
    </row>
    <row r="428" spans="2:2" x14ac:dyDescent="0.25">
      <c r="B428" s="117"/>
    </row>
    <row r="429" spans="2:2" x14ac:dyDescent="0.25">
      <c r="B429" s="117"/>
    </row>
    <row r="430" spans="2:2" x14ac:dyDescent="0.25">
      <c r="B430" s="117"/>
    </row>
    <row r="431" spans="2:2" x14ac:dyDescent="0.25">
      <c r="B431" s="117"/>
    </row>
    <row r="432" spans="2:2" x14ac:dyDescent="0.25">
      <c r="B432" s="117"/>
    </row>
    <row r="433" spans="2:20" x14ac:dyDescent="0.25">
      <c r="B433" s="117"/>
    </row>
    <row r="434" spans="2:20" x14ac:dyDescent="0.25">
      <c r="B434" s="117"/>
    </row>
    <row r="435" spans="2:20" x14ac:dyDescent="0.25">
      <c r="B435" s="117"/>
    </row>
    <row r="436" spans="2:20" x14ac:dyDescent="0.25">
      <c r="B436" s="117"/>
    </row>
    <row r="437" spans="2:20" x14ac:dyDescent="0.25">
      <c r="B437" s="117"/>
    </row>
    <row r="438" spans="2:20" x14ac:dyDescent="0.25">
      <c r="B438" s="117"/>
    </row>
    <row r="439" spans="2:20" x14ac:dyDescent="0.25">
      <c r="B439" s="117"/>
    </row>
    <row r="440" spans="2:20" x14ac:dyDescent="0.25">
      <c r="L440">
        <f>100/1.5</f>
        <v>66.666666666666671</v>
      </c>
    </row>
    <row r="442" spans="2:20" x14ac:dyDescent="0.25">
      <c r="D442" t="s">
        <v>50</v>
      </c>
      <c r="F442" s="100">
        <v>43715</v>
      </c>
    </row>
    <row r="443" spans="2:20" ht="15.75" thickBot="1" x14ac:dyDescent="0.3"/>
    <row r="444" spans="2:20" ht="15.75" thickBot="1" x14ac:dyDescent="0.3">
      <c r="N444" s="123" t="s">
        <v>46</v>
      </c>
      <c r="O444" s="124"/>
      <c r="P444" s="124"/>
      <c r="Q444" s="124"/>
      <c r="R444" s="124"/>
      <c r="S444" s="124"/>
      <c r="T444" s="124"/>
    </row>
    <row r="445" spans="2:20" ht="15.75" thickBot="1" x14ac:dyDescent="0.3">
      <c r="E445" s="19"/>
      <c r="F445" s="20" t="s">
        <v>14</v>
      </c>
      <c r="G445" s="21" t="s">
        <v>15</v>
      </c>
      <c r="H445" s="21" t="s">
        <v>16</v>
      </c>
      <c r="I445" s="21" t="s">
        <v>17</v>
      </c>
      <c r="J445" s="21" t="s">
        <v>18</v>
      </c>
      <c r="K445" s="21" t="s">
        <v>19</v>
      </c>
      <c r="L445" s="21" t="s">
        <v>19</v>
      </c>
      <c r="M445" s="21" t="s">
        <v>20</v>
      </c>
      <c r="N445" s="31" t="s">
        <v>14</v>
      </c>
      <c r="O445" s="27" t="s">
        <v>15</v>
      </c>
      <c r="P445" s="27" t="s">
        <v>16</v>
      </c>
      <c r="Q445" s="27" t="s">
        <v>17</v>
      </c>
      <c r="R445" s="27" t="s">
        <v>18</v>
      </c>
      <c r="S445" s="27" t="s">
        <v>19</v>
      </c>
      <c r="T445" s="27" t="s">
        <v>19</v>
      </c>
    </row>
    <row r="446" spans="2:20" ht="15.75" thickBot="1" x14ac:dyDescent="0.3">
      <c r="D446" s="22" t="s">
        <v>21</v>
      </c>
      <c r="E446" s="22" t="s">
        <v>22</v>
      </c>
      <c r="F446" s="23" t="s">
        <v>23</v>
      </c>
      <c r="G446" s="23" t="s">
        <v>24</v>
      </c>
      <c r="H446" s="23" t="s">
        <v>24</v>
      </c>
      <c r="I446" s="23" t="s">
        <v>24</v>
      </c>
      <c r="J446" s="23" t="s">
        <v>25</v>
      </c>
      <c r="K446" s="23" t="s">
        <v>9</v>
      </c>
      <c r="L446" s="23" t="s">
        <v>10</v>
      </c>
      <c r="M446" s="23" t="s">
        <v>25</v>
      </c>
      <c r="N446" s="33" t="s">
        <v>23</v>
      </c>
      <c r="O446" s="23" t="s">
        <v>24</v>
      </c>
      <c r="P446" s="23" t="s">
        <v>24</v>
      </c>
      <c r="Q446" s="23" t="s">
        <v>24</v>
      </c>
      <c r="R446" s="23" t="s">
        <v>25</v>
      </c>
      <c r="S446" s="23" t="s">
        <v>9</v>
      </c>
      <c r="T446" s="23" t="s">
        <v>10</v>
      </c>
    </row>
    <row r="447" spans="2:20" x14ac:dyDescent="0.25">
      <c r="D447" s="125">
        <v>4</v>
      </c>
      <c r="E447" s="24" t="s">
        <v>3</v>
      </c>
      <c r="F447" s="23" t="s">
        <v>26</v>
      </c>
      <c r="G447" s="90">
        <v>3</v>
      </c>
      <c r="H447" s="16">
        <v>100</v>
      </c>
      <c r="I447" s="23">
        <v>1455</v>
      </c>
      <c r="J447" s="23">
        <v>0.3</v>
      </c>
      <c r="K447" s="23">
        <v>5.5</v>
      </c>
      <c r="L447" s="23">
        <v>2.5</v>
      </c>
      <c r="M447" s="23">
        <v>2</v>
      </c>
      <c r="N447" s="33" t="s">
        <v>26</v>
      </c>
      <c r="O447" s="34">
        <f t="shared" ref="O447:T456" si="24">G447/$M447</f>
        <v>1.5</v>
      </c>
      <c r="P447" s="34">
        <f t="shared" si="24"/>
        <v>50</v>
      </c>
      <c r="Q447" s="34">
        <f t="shared" si="24"/>
        <v>727.5</v>
      </c>
      <c r="R447" s="34">
        <f t="shared" si="24"/>
        <v>0.15</v>
      </c>
      <c r="S447" s="34">
        <f t="shared" si="24"/>
        <v>2.75</v>
      </c>
      <c r="T447" s="34">
        <f t="shared" si="24"/>
        <v>1.25</v>
      </c>
    </row>
    <row r="448" spans="2:20" x14ac:dyDescent="0.25">
      <c r="D448" s="126"/>
      <c r="E448" s="11" t="s">
        <v>4</v>
      </c>
      <c r="F448" s="23" t="s">
        <v>27</v>
      </c>
      <c r="G448" s="23">
        <v>3</v>
      </c>
      <c r="H448" s="16">
        <v>100</v>
      </c>
      <c r="I448" s="23">
        <v>607</v>
      </c>
      <c r="J448" s="23">
        <v>0.2</v>
      </c>
      <c r="K448" s="23">
        <v>6</v>
      </c>
      <c r="L448" s="23">
        <v>2.5</v>
      </c>
      <c r="M448" s="23">
        <v>2</v>
      </c>
      <c r="N448" s="33" t="s">
        <v>27</v>
      </c>
      <c r="O448" s="34">
        <f t="shared" si="24"/>
        <v>1.5</v>
      </c>
      <c r="P448" s="34">
        <f t="shared" si="24"/>
        <v>50</v>
      </c>
      <c r="Q448" s="34">
        <f t="shared" si="24"/>
        <v>303.5</v>
      </c>
      <c r="R448" s="34">
        <f t="shared" si="24"/>
        <v>0.1</v>
      </c>
      <c r="S448" s="34">
        <f t="shared" si="24"/>
        <v>3</v>
      </c>
      <c r="T448" s="34">
        <f t="shared" si="24"/>
        <v>1.25</v>
      </c>
    </row>
    <row r="449" spans="2:20" x14ac:dyDescent="0.25">
      <c r="D449" s="126"/>
      <c r="E449" s="11" t="s">
        <v>5</v>
      </c>
      <c r="F449" s="23" t="s">
        <v>28</v>
      </c>
      <c r="G449" s="25">
        <v>3</v>
      </c>
      <c r="H449" s="16">
        <v>100</v>
      </c>
      <c r="I449" s="23">
        <v>580</v>
      </c>
      <c r="J449" s="23">
        <v>0.15</v>
      </c>
      <c r="K449" s="23">
        <v>5.75</v>
      </c>
      <c r="L449" s="23">
        <v>2.5</v>
      </c>
      <c r="M449" s="25">
        <v>2</v>
      </c>
      <c r="N449" s="33" t="s">
        <v>28</v>
      </c>
      <c r="O449" s="34">
        <f t="shared" si="24"/>
        <v>1.5</v>
      </c>
      <c r="P449" s="34">
        <f t="shared" si="24"/>
        <v>50</v>
      </c>
      <c r="Q449" s="34">
        <f t="shared" si="24"/>
        <v>290</v>
      </c>
      <c r="R449" s="34">
        <f t="shared" si="24"/>
        <v>7.4999999999999997E-2</v>
      </c>
      <c r="S449" s="34">
        <f t="shared" si="24"/>
        <v>2.875</v>
      </c>
      <c r="T449" s="34">
        <f t="shared" si="24"/>
        <v>1.25</v>
      </c>
    </row>
    <row r="450" spans="2:20" x14ac:dyDescent="0.25">
      <c r="D450" s="126"/>
      <c r="E450" s="11" t="s">
        <v>6</v>
      </c>
      <c r="F450" s="23" t="s">
        <v>26</v>
      </c>
      <c r="G450" s="90">
        <f>1.5*6</f>
        <v>9</v>
      </c>
      <c r="H450" s="16">
        <v>140</v>
      </c>
      <c r="I450" s="101">
        <v>891</v>
      </c>
      <c r="J450" s="101">
        <v>0.3</v>
      </c>
      <c r="K450" s="101">
        <v>6.2</v>
      </c>
      <c r="L450" s="101">
        <v>2.5</v>
      </c>
      <c r="M450" s="90">
        <v>2</v>
      </c>
      <c r="N450" s="33" t="s">
        <v>26</v>
      </c>
      <c r="O450" s="34">
        <f>G450/$M450</f>
        <v>4.5</v>
      </c>
      <c r="P450" s="34">
        <f t="shared" si="24"/>
        <v>70</v>
      </c>
      <c r="Q450" s="34">
        <f t="shared" si="24"/>
        <v>445.5</v>
      </c>
      <c r="R450" s="34">
        <f t="shared" si="24"/>
        <v>0.15</v>
      </c>
      <c r="S450" s="34">
        <f t="shared" si="24"/>
        <v>3.1</v>
      </c>
      <c r="T450" s="34">
        <f t="shared" si="24"/>
        <v>1.25</v>
      </c>
    </row>
    <row r="451" spans="2:20" x14ac:dyDescent="0.25">
      <c r="D451" s="126"/>
      <c r="E451" s="11" t="s">
        <v>7</v>
      </c>
      <c r="F451" s="23" t="s">
        <v>27</v>
      </c>
      <c r="G451" s="23">
        <v>9</v>
      </c>
      <c r="H451" s="16">
        <v>140</v>
      </c>
      <c r="I451" s="23">
        <v>808</v>
      </c>
      <c r="J451" s="23">
        <v>0.2</v>
      </c>
      <c r="K451" s="23">
        <v>6</v>
      </c>
      <c r="L451" s="23">
        <v>2.5</v>
      </c>
      <c r="M451" s="23">
        <v>2</v>
      </c>
      <c r="N451" s="33" t="s">
        <v>27</v>
      </c>
      <c r="O451" s="34">
        <f t="shared" si="24"/>
        <v>4.5</v>
      </c>
      <c r="P451" s="34">
        <f t="shared" si="24"/>
        <v>70</v>
      </c>
      <c r="Q451" s="34">
        <f t="shared" si="24"/>
        <v>404</v>
      </c>
      <c r="R451" s="34">
        <f t="shared" si="24"/>
        <v>0.1</v>
      </c>
      <c r="S451" s="34">
        <f t="shared" si="24"/>
        <v>3</v>
      </c>
      <c r="T451" s="34">
        <f t="shared" si="24"/>
        <v>1.25</v>
      </c>
    </row>
    <row r="452" spans="2:20" ht="15.75" thickBot="1" x14ac:dyDescent="0.3">
      <c r="D452" s="126"/>
      <c r="E452" s="11" t="s">
        <v>8</v>
      </c>
      <c r="F452" s="23" t="s">
        <v>28</v>
      </c>
      <c r="G452" s="23">
        <v>9</v>
      </c>
      <c r="H452" s="16">
        <v>140</v>
      </c>
      <c r="I452" s="23">
        <v>1352</v>
      </c>
      <c r="J452" s="23">
        <v>0.15</v>
      </c>
      <c r="K452" s="23">
        <v>5.75</v>
      </c>
      <c r="L452" s="23">
        <v>2.5</v>
      </c>
      <c r="M452" s="25">
        <v>2</v>
      </c>
      <c r="N452" s="35" t="s">
        <v>28</v>
      </c>
      <c r="O452" s="34">
        <f t="shared" si="24"/>
        <v>4.5</v>
      </c>
      <c r="P452" s="34">
        <f t="shared" si="24"/>
        <v>70</v>
      </c>
      <c r="Q452" s="34">
        <f t="shared" si="24"/>
        <v>676</v>
      </c>
      <c r="R452" s="34">
        <f t="shared" si="24"/>
        <v>7.4999999999999997E-2</v>
      </c>
      <c r="S452" s="34">
        <f t="shared" si="24"/>
        <v>2.875</v>
      </c>
      <c r="T452" s="34">
        <f t="shared" si="24"/>
        <v>1.25</v>
      </c>
    </row>
    <row r="453" spans="2:20" x14ac:dyDescent="0.25">
      <c r="D453" s="126"/>
      <c r="E453" s="62" t="s">
        <v>51</v>
      </c>
      <c r="F453" s="102" t="s">
        <v>27</v>
      </c>
      <c r="G453" s="12"/>
      <c r="H453" s="12"/>
      <c r="I453" s="102">
        <v>66</v>
      </c>
      <c r="J453" s="102">
        <v>0.05</v>
      </c>
      <c r="K453" s="12" t="s">
        <v>52</v>
      </c>
      <c r="L453" s="102">
        <v>0.05</v>
      </c>
      <c r="M453" s="102">
        <v>0.28000000000000003</v>
      </c>
      <c r="O453">
        <v>1</v>
      </c>
      <c r="Q453" s="103">
        <f t="shared" si="24"/>
        <v>235.71428571428569</v>
      </c>
      <c r="T453" s="103">
        <f t="shared" si="24"/>
        <v>0.17857142857142858</v>
      </c>
    </row>
    <row r="454" spans="2:20" x14ac:dyDescent="0.25">
      <c r="D454" s="126"/>
      <c r="E454" s="62" t="s">
        <v>53</v>
      </c>
      <c r="F454" s="102" t="s">
        <v>27</v>
      </c>
      <c r="G454" s="12"/>
      <c r="H454" s="12"/>
      <c r="I454" s="102">
        <v>95</v>
      </c>
      <c r="J454" s="102">
        <v>0.05</v>
      </c>
      <c r="K454" s="12" t="s">
        <v>52</v>
      </c>
      <c r="L454" s="102">
        <v>0.05</v>
      </c>
      <c r="M454" s="102">
        <v>0.28000000000000003</v>
      </c>
      <c r="O454">
        <v>1</v>
      </c>
      <c r="Q454" s="103">
        <f t="shared" si="24"/>
        <v>339.28571428571428</v>
      </c>
      <c r="T454" s="103">
        <f t="shared" si="24"/>
        <v>0.17857142857142858</v>
      </c>
    </row>
    <row r="455" spans="2:20" x14ac:dyDescent="0.25">
      <c r="D455" s="126"/>
      <c r="E455" s="62" t="s">
        <v>54</v>
      </c>
      <c r="F455" s="102" t="s">
        <v>26</v>
      </c>
      <c r="G455" s="12"/>
      <c r="H455" s="12"/>
      <c r="I455" s="23">
        <v>81</v>
      </c>
      <c r="J455" s="102">
        <v>0.05</v>
      </c>
      <c r="K455" s="12" t="s">
        <v>55</v>
      </c>
      <c r="L455" s="102">
        <v>0.05</v>
      </c>
      <c r="M455" s="102">
        <v>0.25</v>
      </c>
      <c r="T455" s="103">
        <f t="shared" si="24"/>
        <v>0.2</v>
      </c>
    </row>
    <row r="456" spans="2:20" x14ac:dyDescent="0.25">
      <c r="D456" s="126"/>
      <c r="E456" s="62" t="s">
        <v>56</v>
      </c>
      <c r="F456" s="102" t="s">
        <v>26</v>
      </c>
      <c r="G456" s="12"/>
      <c r="H456" s="12"/>
      <c r="I456" s="23">
        <v>132</v>
      </c>
      <c r="J456" s="102">
        <v>0.05</v>
      </c>
      <c r="K456" s="12" t="s">
        <v>55</v>
      </c>
      <c r="L456" s="102">
        <v>0.05</v>
      </c>
      <c r="M456" s="102">
        <v>0.25</v>
      </c>
      <c r="T456" s="103">
        <f t="shared" si="24"/>
        <v>0.2</v>
      </c>
    </row>
    <row r="460" spans="2:20" x14ac:dyDescent="0.25">
      <c r="P460" s="100">
        <v>43716</v>
      </c>
      <c r="Q460" t="s">
        <v>57</v>
      </c>
      <c r="R460" s="104" t="s">
        <v>58</v>
      </c>
    </row>
    <row r="461" spans="2:20" x14ac:dyDescent="0.25">
      <c r="P461" s="2" t="s">
        <v>59</v>
      </c>
      <c r="Q461">
        <v>2.8</v>
      </c>
      <c r="R461">
        <v>2.9</v>
      </c>
    </row>
    <row r="462" spans="2:20" ht="15.75" thickBot="1" x14ac:dyDescent="0.3">
      <c r="F462" s="2" t="s">
        <v>3</v>
      </c>
      <c r="G462" s="2" t="s">
        <v>4</v>
      </c>
      <c r="H462" s="2" t="s">
        <v>5</v>
      </c>
      <c r="I462" s="2" t="s">
        <v>6</v>
      </c>
      <c r="J462" s="2" t="s">
        <v>7</v>
      </c>
      <c r="K462" s="2" t="s">
        <v>8</v>
      </c>
      <c r="L462" s="2" t="s">
        <v>51</v>
      </c>
      <c r="M462" s="2" t="s">
        <v>53</v>
      </c>
      <c r="N462" s="2" t="s">
        <v>54</v>
      </c>
      <c r="O462" s="2" t="s">
        <v>56</v>
      </c>
      <c r="P462" s="2" t="s">
        <v>60</v>
      </c>
      <c r="Q462">
        <v>5.25</v>
      </c>
      <c r="R462">
        <v>5</v>
      </c>
    </row>
    <row r="463" spans="2:20" x14ac:dyDescent="0.25">
      <c r="B463" s="118">
        <f>B458+1</f>
        <v>1</v>
      </c>
      <c r="C463" s="119">
        <v>0.75</v>
      </c>
      <c r="D463" s="120">
        <f>F442+1</f>
        <v>43716</v>
      </c>
      <c r="E463" s="8" t="s">
        <v>9</v>
      </c>
      <c r="F463" s="105">
        <v>5.25</v>
      </c>
      <c r="G463" s="40">
        <v>5.5</v>
      </c>
      <c r="H463" s="40">
        <v>5.4</v>
      </c>
      <c r="I463" s="40">
        <v>6.85</v>
      </c>
      <c r="J463" s="40">
        <v>6.9</v>
      </c>
      <c r="K463" s="40">
        <v>6.8</v>
      </c>
      <c r="L463" s="9">
        <v>5.75</v>
      </c>
      <c r="M463" s="9">
        <v>5.8</v>
      </c>
      <c r="N463" s="9">
        <v>4.8499999999999996</v>
      </c>
      <c r="O463" s="10">
        <v>4.4000000000000004</v>
      </c>
    </row>
    <row r="464" spans="2:20" x14ac:dyDescent="0.25">
      <c r="B464" s="118"/>
      <c r="C464" s="119"/>
      <c r="D464" s="121"/>
      <c r="E464" s="11" t="s">
        <v>10</v>
      </c>
      <c r="F464" s="106">
        <v>2.7</v>
      </c>
      <c r="G464" s="53">
        <v>2.8</v>
      </c>
      <c r="H464" s="53">
        <v>2.8</v>
      </c>
      <c r="I464" s="53">
        <v>2.8</v>
      </c>
      <c r="J464" s="53">
        <v>2.9</v>
      </c>
      <c r="K464" s="53">
        <v>2.6</v>
      </c>
      <c r="L464" s="12">
        <v>2.9</v>
      </c>
      <c r="M464" s="12">
        <v>2.8</v>
      </c>
      <c r="N464" s="12">
        <v>2.9</v>
      </c>
      <c r="O464" s="13">
        <v>2.8</v>
      </c>
    </row>
    <row r="465" spans="2:15" x14ac:dyDescent="0.25">
      <c r="B465" s="118"/>
      <c r="C465" s="119"/>
      <c r="D465" s="121"/>
      <c r="E465" s="11" t="s">
        <v>11</v>
      </c>
      <c r="F465" s="107"/>
      <c r="G465" s="95"/>
      <c r="H465" s="95"/>
      <c r="I465" s="95"/>
      <c r="J465" s="53"/>
      <c r="K465" s="53"/>
      <c r="L465" s="12"/>
      <c r="M465" s="12"/>
      <c r="N465" s="12"/>
      <c r="O465" s="13"/>
    </row>
    <row r="466" spans="2:15" x14ac:dyDescent="0.25">
      <c r="B466" s="118"/>
      <c r="C466" s="119"/>
      <c r="D466" s="121"/>
      <c r="E466" s="11" t="s">
        <v>12</v>
      </c>
      <c r="F466" s="106"/>
      <c r="G466" s="53"/>
      <c r="H466" s="53"/>
      <c r="I466" s="53"/>
      <c r="J466" s="53"/>
      <c r="K466" s="53"/>
      <c r="L466" s="12"/>
      <c r="M466" s="12"/>
      <c r="N466" s="12"/>
      <c r="O466" s="13"/>
    </row>
    <row r="467" spans="2:15" ht="15.75" thickBot="1" x14ac:dyDescent="0.3">
      <c r="B467" s="118"/>
      <c r="C467" s="119"/>
      <c r="D467" s="122"/>
      <c r="E467" s="17" t="s">
        <v>13</v>
      </c>
      <c r="F467" s="108"/>
      <c r="G467" s="64"/>
      <c r="H467" s="64"/>
      <c r="I467" s="64"/>
      <c r="J467" s="64"/>
      <c r="K467" s="109"/>
      <c r="L467" s="110"/>
      <c r="M467" s="110"/>
      <c r="N467" s="110"/>
      <c r="O467" s="111"/>
    </row>
    <row r="468" spans="2:15" x14ac:dyDescent="0.25">
      <c r="B468" s="118">
        <f>B463+1</f>
        <v>2</v>
      </c>
      <c r="C468" s="119">
        <v>0.91666666666666663</v>
      </c>
      <c r="D468" s="120">
        <f>D463+1</f>
        <v>43717</v>
      </c>
      <c r="E468" s="8" t="s">
        <v>9</v>
      </c>
      <c r="F468" s="112">
        <v>5.35</v>
      </c>
      <c r="G468" s="9">
        <v>5.5</v>
      </c>
      <c r="H468" s="9">
        <v>5.5</v>
      </c>
      <c r="I468" s="9">
        <v>6.75</v>
      </c>
      <c r="J468" s="9">
        <v>6.8</v>
      </c>
      <c r="K468" s="9">
        <v>6.35</v>
      </c>
      <c r="L468" s="9">
        <v>5.75</v>
      </c>
      <c r="M468" s="9">
        <v>5.75</v>
      </c>
      <c r="N468" s="9">
        <v>4.8</v>
      </c>
      <c r="O468" s="10">
        <v>4.45</v>
      </c>
    </row>
    <row r="469" spans="2:15" x14ac:dyDescent="0.25">
      <c r="B469" s="118"/>
      <c r="C469" s="119"/>
      <c r="D469" s="121"/>
      <c r="E469" s="11" t="s">
        <v>10</v>
      </c>
      <c r="F469" s="113">
        <v>2.7</v>
      </c>
      <c r="G469" s="12">
        <v>2.7</v>
      </c>
      <c r="H469" s="12">
        <v>2.8</v>
      </c>
      <c r="I469" s="12">
        <v>2.8</v>
      </c>
      <c r="J469" s="12">
        <v>3</v>
      </c>
      <c r="K469" s="12">
        <v>2.7</v>
      </c>
      <c r="L469" s="12">
        <v>2.9</v>
      </c>
      <c r="M469" s="12">
        <v>2.8</v>
      </c>
      <c r="N469" s="12">
        <v>2.9</v>
      </c>
      <c r="O469" s="13">
        <v>2.8</v>
      </c>
    </row>
    <row r="470" spans="2:15" x14ac:dyDescent="0.25">
      <c r="B470" s="118"/>
      <c r="C470" s="119"/>
      <c r="D470" s="121"/>
      <c r="E470" s="11" t="s">
        <v>11</v>
      </c>
      <c r="F470" s="113"/>
      <c r="G470" s="12"/>
      <c r="H470" s="12"/>
      <c r="I470" s="12"/>
      <c r="J470" s="12"/>
      <c r="K470" s="12"/>
      <c r="L470" s="12"/>
      <c r="M470" s="12"/>
      <c r="N470" s="12"/>
      <c r="O470" s="13"/>
    </row>
    <row r="471" spans="2:15" x14ac:dyDescent="0.25">
      <c r="B471" s="118"/>
      <c r="C471" s="119"/>
      <c r="D471" s="121"/>
      <c r="E471" s="11" t="s">
        <v>12</v>
      </c>
      <c r="F471" s="113"/>
      <c r="G471" s="12"/>
      <c r="H471" s="12"/>
      <c r="I471" s="12"/>
      <c r="J471" s="12"/>
      <c r="K471" s="12"/>
      <c r="L471" s="12"/>
      <c r="M471" s="12"/>
      <c r="N471" s="12"/>
      <c r="O471" s="13"/>
    </row>
    <row r="472" spans="2:15" ht="15.75" thickBot="1" x14ac:dyDescent="0.3">
      <c r="B472" s="118"/>
      <c r="C472" s="119"/>
      <c r="D472" s="122"/>
      <c r="E472" s="17" t="s">
        <v>13</v>
      </c>
      <c r="F472" s="114"/>
      <c r="G472" s="18"/>
      <c r="H472" s="18"/>
      <c r="I472" s="18"/>
      <c r="J472" s="18"/>
      <c r="K472" s="110"/>
      <c r="L472" s="110"/>
      <c r="M472" s="110"/>
      <c r="N472" s="110"/>
      <c r="O472" s="111"/>
    </row>
    <row r="473" spans="2:15" x14ac:dyDescent="0.25">
      <c r="B473" s="118">
        <f>B468+1</f>
        <v>3</v>
      </c>
      <c r="C473" s="119">
        <v>0.875</v>
      </c>
      <c r="D473" s="120">
        <f>D468+1</f>
        <v>43718</v>
      </c>
      <c r="E473" s="8" t="s">
        <v>9</v>
      </c>
      <c r="F473" s="112">
        <v>5.2</v>
      </c>
      <c r="G473" s="9">
        <v>5.45</v>
      </c>
      <c r="H473" s="9">
        <v>5.45</v>
      </c>
      <c r="I473" s="9">
        <v>6.8</v>
      </c>
      <c r="J473" s="9">
        <v>6.8</v>
      </c>
      <c r="K473" s="9">
        <v>6.45</v>
      </c>
      <c r="L473" s="9">
        <v>5.8</v>
      </c>
      <c r="M473" s="9">
        <v>5.8</v>
      </c>
      <c r="N473" s="9">
        <v>4.8</v>
      </c>
      <c r="O473" s="10">
        <v>4.5</v>
      </c>
    </row>
    <row r="474" spans="2:15" x14ac:dyDescent="0.25">
      <c r="B474" s="118"/>
      <c r="C474" s="119"/>
      <c r="D474" s="121"/>
      <c r="E474" s="11" t="s">
        <v>10</v>
      </c>
      <c r="F474" s="113">
        <v>2.7</v>
      </c>
      <c r="G474" s="12">
        <v>2.8</v>
      </c>
      <c r="H474" s="12">
        <v>2.8</v>
      </c>
      <c r="I474" s="12">
        <v>2.8</v>
      </c>
      <c r="J474" s="12">
        <v>2.9</v>
      </c>
      <c r="K474" s="12">
        <v>2.6</v>
      </c>
      <c r="L474" s="12">
        <v>2.9</v>
      </c>
      <c r="M474" s="12">
        <v>2.9</v>
      </c>
      <c r="N474" s="12">
        <v>2.9</v>
      </c>
      <c r="O474" s="13">
        <v>2.8</v>
      </c>
    </row>
    <row r="475" spans="2:15" x14ac:dyDescent="0.25">
      <c r="B475" s="118"/>
      <c r="C475" s="119"/>
      <c r="D475" s="121"/>
      <c r="E475" s="11" t="s">
        <v>11</v>
      </c>
      <c r="F475" s="113"/>
      <c r="G475" s="12"/>
      <c r="H475" s="12"/>
      <c r="I475" s="12"/>
      <c r="J475" s="12"/>
      <c r="K475" s="12"/>
      <c r="L475" s="12"/>
      <c r="M475" s="12"/>
      <c r="N475" s="12"/>
      <c r="O475" s="13"/>
    </row>
    <row r="476" spans="2:15" x14ac:dyDescent="0.25">
      <c r="B476" s="118"/>
      <c r="C476" s="119"/>
      <c r="D476" s="121"/>
      <c r="E476" s="11" t="s">
        <v>12</v>
      </c>
      <c r="F476" s="113"/>
      <c r="G476" s="12"/>
      <c r="H476" s="12"/>
      <c r="I476" s="12"/>
      <c r="J476" s="12"/>
      <c r="K476" s="12"/>
      <c r="L476" s="12"/>
      <c r="M476" s="12"/>
      <c r="N476" s="12"/>
      <c r="O476" s="13"/>
    </row>
    <row r="477" spans="2:15" ht="15.75" thickBot="1" x14ac:dyDescent="0.3">
      <c r="B477" s="118"/>
      <c r="C477" s="119"/>
      <c r="D477" s="122"/>
      <c r="E477" s="17" t="s">
        <v>13</v>
      </c>
      <c r="F477" s="114"/>
      <c r="G477" s="18"/>
      <c r="H477" s="18"/>
      <c r="I477" s="18"/>
      <c r="J477" s="18"/>
      <c r="K477" s="110"/>
      <c r="L477" s="110"/>
      <c r="M477" s="110"/>
      <c r="N477" s="110"/>
      <c r="O477" s="111"/>
    </row>
    <row r="478" spans="2:15" x14ac:dyDescent="0.25">
      <c r="B478" s="118">
        <f>B473+1</f>
        <v>4</v>
      </c>
      <c r="C478" s="119">
        <v>0.875</v>
      </c>
      <c r="D478" s="120">
        <f>D473+1</f>
        <v>43719</v>
      </c>
      <c r="E478" s="8" t="s">
        <v>9</v>
      </c>
      <c r="F478" s="112"/>
      <c r="G478" s="9"/>
      <c r="H478" s="9"/>
      <c r="I478" s="9"/>
      <c r="J478" s="9"/>
      <c r="K478" s="9"/>
      <c r="L478" s="9"/>
      <c r="M478" s="9"/>
      <c r="N478" s="9"/>
      <c r="O478" s="10"/>
    </row>
    <row r="479" spans="2:15" x14ac:dyDescent="0.25">
      <c r="B479" s="118"/>
      <c r="C479" s="119"/>
      <c r="D479" s="121"/>
      <c r="E479" s="11" t="s">
        <v>10</v>
      </c>
      <c r="F479" s="113"/>
      <c r="G479" s="12"/>
      <c r="H479" s="12"/>
      <c r="I479" s="12"/>
      <c r="J479" s="12"/>
      <c r="K479" s="12"/>
      <c r="L479" s="12"/>
      <c r="M479" s="12"/>
      <c r="N479" s="12"/>
      <c r="O479" s="13"/>
    </row>
    <row r="480" spans="2:15" x14ac:dyDescent="0.25">
      <c r="B480" s="118"/>
      <c r="C480" s="119"/>
      <c r="D480" s="121"/>
      <c r="E480" s="11" t="s">
        <v>11</v>
      </c>
      <c r="F480" s="113"/>
      <c r="G480" s="12"/>
      <c r="H480" s="12"/>
      <c r="I480" s="12"/>
      <c r="J480" s="12"/>
      <c r="K480" s="12"/>
      <c r="L480" s="12"/>
      <c r="M480" s="12"/>
      <c r="N480" s="12"/>
      <c r="O480" s="13"/>
    </row>
    <row r="481" spans="2:15" x14ac:dyDescent="0.25">
      <c r="B481" s="118"/>
      <c r="C481" s="119"/>
      <c r="D481" s="121"/>
      <c r="E481" s="11" t="s">
        <v>12</v>
      </c>
      <c r="F481" s="113"/>
      <c r="G481" s="12"/>
      <c r="H481" s="12"/>
      <c r="I481" s="12"/>
      <c r="J481" s="12"/>
      <c r="K481" s="12"/>
      <c r="L481" s="12"/>
      <c r="M481" s="12"/>
      <c r="N481" s="12"/>
      <c r="O481" s="13"/>
    </row>
    <row r="482" spans="2:15" ht="15.75" thickBot="1" x14ac:dyDescent="0.3">
      <c r="B482" s="118"/>
      <c r="C482" s="119"/>
      <c r="D482" s="122"/>
      <c r="E482" s="17" t="s">
        <v>13</v>
      </c>
      <c r="F482" s="114"/>
      <c r="G482" s="18"/>
      <c r="H482" s="18"/>
      <c r="I482" s="18"/>
      <c r="J482" s="18"/>
      <c r="K482" s="110"/>
      <c r="L482" s="110"/>
      <c r="M482" s="110"/>
      <c r="N482" s="110"/>
      <c r="O482" s="111"/>
    </row>
    <row r="483" spans="2:15" x14ac:dyDescent="0.25">
      <c r="B483" s="118">
        <f>B478+1</f>
        <v>5</v>
      </c>
      <c r="C483" s="119">
        <v>0.875</v>
      </c>
      <c r="D483" s="120">
        <f>D478+1</f>
        <v>43720</v>
      </c>
      <c r="E483" s="8" t="s">
        <v>9</v>
      </c>
      <c r="F483" s="112">
        <v>5.0999999999999996</v>
      </c>
      <c r="G483" s="9">
        <v>5.35</v>
      </c>
      <c r="H483" s="9">
        <v>5.25</v>
      </c>
      <c r="I483" s="9">
        <v>6.45</v>
      </c>
      <c r="J483" s="9">
        <v>6.7</v>
      </c>
      <c r="K483" s="9">
        <v>6.2</v>
      </c>
      <c r="L483" s="9">
        <v>5.75</v>
      </c>
      <c r="M483" s="9">
        <v>5.9</v>
      </c>
      <c r="N483" s="9">
        <v>4.9000000000000004</v>
      </c>
      <c r="O483" s="10">
        <v>4.5</v>
      </c>
    </row>
    <row r="484" spans="2:15" x14ac:dyDescent="0.25">
      <c r="B484" s="118"/>
      <c r="C484" s="119"/>
      <c r="D484" s="121"/>
      <c r="E484" s="11" t="s">
        <v>10</v>
      </c>
      <c r="F484" s="113">
        <v>2.7</v>
      </c>
      <c r="G484" s="12">
        <v>2.7</v>
      </c>
      <c r="H484" s="12">
        <v>2.7</v>
      </c>
      <c r="I484" s="12">
        <v>2.8</v>
      </c>
      <c r="J484" s="12">
        <v>2.7</v>
      </c>
      <c r="K484" s="12">
        <v>2.65</v>
      </c>
      <c r="L484" s="12">
        <v>2.8</v>
      </c>
      <c r="M484" s="12">
        <v>2.8</v>
      </c>
      <c r="N484" s="12">
        <v>2.8</v>
      </c>
      <c r="O484" s="13">
        <v>2.8</v>
      </c>
    </row>
    <row r="485" spans="2:15" x14ac:dyDescent="0.25">
      <c r="B485" s="118"/>
      <c r="C485" s="119"/>
      <c r="D485" s="121"/>
      <c r="E485" s="11" t="s">
        <v>11</v>
      </c>
      <c r="F485" s="113"/>
      <c r="G485" s="12"/>
      <c r="H485" s="12"/>
      <c r="I485" s="12"/>
      <c r="J485" s="12"/>
      <c r="K485" s="12"/>
      <c r="L485" s="12"/>
      <c r="M485" s="12"/>
      <c r="N485" s="12"/>
      <c r="O485" s="13"/>
    </row>
    <row r="486" spans="2:15" x14ac:dyDescent="0.25">
      <c r="B486" s="118"/>
      <c r="C486" s="119"/>
      <c r="D486" s="121"/>
      <c r="E486" s="11" t="s">
        <v>12</v>
      </c>
      <c r="F486" s="113"/>
      <c r="G486" s="12"/>
      <c r="H486" s="12"/>
      <c r="I486" s="12"/>
      <c r="J486" s="12"/>
      <c r="K486" s="12"/>
      <c r="L486" s="12"/>
      <c r="M486" s="12"/>
      <c r="N486" s="12"/>
      <c r="O486" s="13"/>
    </row>
    <row r="487" spans="2:15" ht="15.75" thickBot="1" x14ac:dyDescent="0.3">
      <c r="B487" s="118"/>
      <c r="C487" s="119"/>
      <c r="D487" s="122"/>
      <c r="E487" s="17" t="s">
        <v>13</v>
      </c>
      <c r="F487" s="114"/>
      <c r="G487" s="18"/>
      <c r="H487" s="18"/>
      <c r="I487" s="18"/>
      <c r="J487" s="18"/>
      <c r="K487" s="110"/>
      <c r="L487" s="110"/>
      <c r="M487" s="110"/>
      <c r="N487" s="110"/>
      <c r="O487" s="111"/>
    </row>
  </sheetData>
  <mergeCells count="210">
    <mergeCell ref="B22:B25"/>
    <mergeCell ref="C22:C25"/>
    <mergeCell ref="D22:D25"/>
    <mergeCell ref="B26:B29"/>
    <mergeCell ref="C26:C29"/>
    <mergeCell ref="D26:D29"/>
    <mergeCell ref="D3:E3"/>
    <mergeCell ref="F5:M5"/>
    <mergeCell ref="N5:T5"/>
    <mergeCell ref="D8:D13"/>
    <mergeCell ref="F16:K16"/>
    <mergeCell ref="B18:B21"/>
    <mergeCell ref="C18:C21"/>
    <mergeCell ref="D18:D21"/>
    <mergeCell ref="B38:B41"/>
    <mergeCell ref="C38:C41"/>
    <mergeCell ref="D38:D41"/>
    <mergeCell ref="B42:B45"/>
    <mergeCell ref="C42:C45"/>
    <mergeCell ref="D42:D45"/>
    <mergeCell ref="B30:B33"/>
    <mergeCell ref="C30:C33"/>
    <mergeCell ref="D30:D33"/>
    <mergeCell ref="B34:B37"/>
    <mergeCell ref="C34:C37"/>
    <mergeCell ref="D34:D37"/>
    <mergeCell ref="B54:B57"/>
    <mergeCell ref="C54:C57"/>
    <mergeCell ref="D54:D57"/>
    <mergeCell ref="B58:B61"/>
    <mergeCell ref="C58:C61"/>
    <mergeCell ref="D58:D61"/>
    <mergeCell ref="B46:B49"/>
    <mergeCell ref="C46:C49"/>
    <mergeCell ref="D46:D49"/>
    <mergeCell ref="B50:B53"/>
    <mergeCell ref="C50:C53"/>
    <mergeCell ref="D50:D53"/>
    <mergeCell ref="B70:B73"/>
    <mergeCell ref="C70:C73"/>
    <mergeCell ref="D70:D73"/>
    <mergeCell ref="B74:B77"/>
    <mergeCell ref="C74:C77"/>
    <mergeCell ref="D74:D77"/>
    <mergeCell ref="B62:B65"/>
    <mergeCell ref="C62:C65"/>
    <mergeCell ref="D62:D65"/>
    <mergeCell ref="B66:B69"/>
    <mergeCell ref="C66:C69"/>
    <mergeCell ref="D66:D69"/>
    <mergeCell ref="M142:S142"/>
    <mergeCell ref="C145:C150"/>
    <mergeCell ref="B86:B89"/>
    <mergeCell ref="C86:C89"/>
    <mergeCell ref="D86:D89"/>
    <mergeCell ref="B90:B93"/>
    <mergeCell ref="C90:C93"/>
    <mergeCell ref="D90:D93"/>
    <mergeCell ref="B78:B81"/>
    <mergeCell ref="C78:C81"/>
    <mergeCell ref="D78:D81"/>
    <mergeCell ref="B82:B85"/>
    <mergeCell ref="C82:C85"/>
    <mergeCell ref="D82:D85"/>
    <mergeCell ref="F153:K153"/>
    <mergeCell ref="B155:B158"/>
    <mergeCell ref="C155:C158"/>
    <mergeCell ref="D155:D158"/>
    <mergeCell ref="B159:B162"/>
    <mergeCell ref="C159:C162"/>
    <mergeCell ref="D159:D162"/>
    <mergeCell ref="B94:B97"/>
    <mergeCell ref="C94:C97"/>
    <mergeCell ref="D94:D97"/>
    <mergeCell ref="C140:D140"/>
    <mergeCell ref="B171:B174"/>
    <mergeCell ref="C171:C174"/>
    <mergeCell ref="D171:D174"/>
    <mergeCell ref="B175:B178"/>
    <mergeCell ref="C175:C178"/>
    <mergeCell ref="D175:D178"/>
    <mergeCell ref="B163:B166"/>
    <mergeCell ref="C163:C166"/>
    <mergeCell ref="D163:D166"/>
    <mergeCell ref="B167:B170"/>
    <mergeCell ref="C167:C170"/>
    <mergeCell ref="D167:D170"/>
    <mergeCell ref="B187:B190"/>
    <mergeCell ref="C187:C190"/>
    <mergeCell ref="D187:D190"/>
    <mergeCell ref="B191:B194"/>
    <mergeCell ref="C191:C194"/>
    <mergeCell ref="D191:D194"/>
    <mergeCell ref="B179:B182"/>
    <mergeCell ref="C179:C182"/>
    <mergeCell ref="D179:D182"/>
    <mergeCell ref="B183:B186"/>
    <mergeCell ref="C183:C186"/>
    <mergeCell ref="D183:D186"/>
    <mergeCell ref="B203:B206"/>
    <mergeCell ref="C203:C206"/>
    <mergeCell ref="D203:D206"/>
    <mergeCell ref="B207:B210"/>
    <mergeCell ref="C207:C210"/>
    <mergeCell ref="D207:D210"/>
    <mergeCell ref="B195:B198"/>
    <mergeCell ref="C195:C198"/>
    <mergeCell ref="D195:D198"/>
    <mergeCell ref="B199:B202"/>
    <mergeCell ref="C199:C202"/>
    <mergeCell ref="D199:D202"/>
    <mergeCell ref="B219:B222"/>
    <mergeCell ref="C219:C222"/>
    <mergeCell ref="D219:D222"/>
    <mergeCell ref="B223:B226"/>
    <mergeCell ref="C223:C226"/>
    <mergeCell ref="D223:D226"/>
    <mergeCell ref="B211:B214"/>
    <mergeCell ref="C211:C214"/>
    <mergeCell ref="D211:D214"/>
    <mergeCell ref="B215:B218"/>
    <mergeCell ref="C215:C218"/>
    <mergeCell ref="D215:D218"/>
    <mergeCell ref="C284:D284"/>
    <mergeCell ref="N286:T286"/>
    <mergeCell ref="D289:D294"/>
    <mergeCell ref="I297:J297"/>
    <mergeCell ref="B299:B302"/>
    <mergeCell ref="C299:C302"/>
    <mergeCell ref="D299:D302"/>
    <mergeCell ref="B227:B230"/>
    <mergeCell ref="C227:C230"/>
    <mergeCell ref="D227:D230"/>
    <mergeCell ref="B231:B234"/>
    <mergeCell ref="C231:C234"/>
    <mergeCell ref="D231:D234"/>
    <mergeCell ref="B311:B314"/>
    <mergeCell ref="C311:C314"/>
    <mergeCell ref="D311:D314"/>
    <mergeCell ref="B315:B318"/>
    <mergeCell ref="C315:C318"/>
    <mergeCell ref="D315:D318"/>
    <mergeCell ref="B303:B306"/>
    <mergeCell ref="C303:C306"/>
    <mergeCell ref="D303:D306"/>
    <mergeCell ref="B307:B310"/>
    <mergeCell ref="C307:C310"/>
    <mergeCell ref="D307:D310"/>
    <mergeCell ref="B327:B330"/>
    <mergeCell ref="C327:C330"/>
    <mergeCell ref="D327:D330"/>
    <mergeCell ref="B331:B334"/>
    <mergeCell ref="C331:C334"/>
    <mergeCell ref="D331:D334"/>
    <mergeCell ref="B319:B322"/>
    <mergeCell ref="C319:C322"/>
    <mergeCell ref="D319:D322"/>
    <mergeCell ref="B323:B326"/>
    <mergeCell ref="C323:C326"/>
    <mergeCell ref="D323:D326"/>
    <mergeCell ref="B343:B346"/>
    <mergeCell ref="C343:C346"/>
    <mergeCell ref="D343:D346"/>
    <mergeCell ref="B347:B350"/>
    <mergeCell ref="C347:C350"/>
    <mergeCell ref="D347:D350"/>
    <mergeCell ref="B335:B338"/>
    <mergeCell ref="C335:C338"/>
    <mergeCell ref="D335:D338"/>
    <mergeCell ref="B339:B342"/>
    <mergeCell ref="C339:C342"/>
    <mergeCell ref="D339:D342"/>
    <mergeCell ref="B359:B362"/>
    <mergeCell ref="C359:C362"/>
    <mergeCell ref="D359:D362"/>
    <mergeCell ref="B363:B366"/>
    <mergeCell ref="C363:C366"/>
    <mergeCell ref="D363:D366"/>
    <mergeCell ref="B351:B354"/>
    <mergeCell ref="C351:C354"/>
    <mergeCell ref="D351:D354"/>
    <mergeCell ref="B355:B358"/>
    <mergeCell ref="C355:C358"/>
    <mergeCell ref="D355:D358"/>
    <mergeCell ref="B375:B378"/>
    <mergeCell ref="C375:C378"/>
    <mergeCell ref="D375:D378"/>
    <mergeCell ref="N444:T444"/>
    <mergeCell ref="D447:D456"/>
    <mergeCell ref="B463:B467"/>
    <mergeCell ref="C463:C467"/>
    <mergeCell ref="D463:D467"/>
    <mergeCell ref="B367:B370"/>
    <mergeCell ref="C367:C370"/>
    <mergeCell ref="D367:D370"/>
    <mergeCell ref="B371:B374"/>
    <mergeCell ref="C371:C374"/>
    <mergeCell ref="D371:D374"/>
    <mergeCell ref="B478:B482"/>
    <mergeCell ref="C478:C482"/>
    <mergeCell ref="D478:D482"/>
    <mergeCell ref="B483:B487"/>
    <mergeCell ref="C483:C487"/>
    <mergeCell ref="D483:D487"/>
    <mergeCell ref="B468:B472"/>
    <mergeCell ref="C468:C472"/>
    <mergeCell ref="D468:D472"/>
    <mergeCell ref="B473:B477"/>
    <mergeCell ref="C473:C477"/>
    <mergeCell ref="D473:D477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E6:M129"/>
  <sheetViews>
    <sheetView topLeftCell="A4" workbookViewId="0">
      <selection activeCell="M129" sqref="M10:M129"/>
    </sheetView>
  </sheetViews>
  <sheetFormatPr baseColWidth="10" defaultRowHeight="15" x14ac:dyDescent="0.25"/>
  <cols>
    <col min="5" max="5" width="16.5703125" customWidth="1"/>
  </cols>
  <sheetData>
    <row r="6" spans="5:13" ht="15.75" thickBot="1" x14ac:dyDescent="0.3"/>
    <row r="7" spans="5:13" ht="15.75" thickBot="1" x14ac:dyDescent="0.3">
      <c r="F7" s="132" t="s">
        <v>43</v>
      </c>
      <c r="G7" s="133"/>
      <c r="H7" s="133"/>
      <c r="I7" s="133"/>
      <c r="J7" s="133"/>
      <c r="K7" s="134"/>
    </row>
    <row r="8" spans="5:13" ht="15.75" thickBot="1" x14ac:dyDescent="0.3">
      <c r="E8" s="3" t="s">
        <v>2</v>
      </c>
      <c r="F8" s="4" t="s">
        <v>3</v>
      </c>
      <c r="G8" s="5" t="s">
        <v>4</v>
      </c>
      <c r="H8" s="5" t="s">
        <v>5</v>
      </c>
      <c r="I8" s="5" t="s">
        <v>6</v>
      </c>
      <c r="J8" s="5" t="s">
        <v>7</v>
      </c>
      <c r="K8" s="6" t="s">
        <v>8</v>
      </c>
      <c r="M8" s="115" t="s">
        <v>61</v>
      </c>
    </row>
    <row r="9" spans="5:13" x14ac:dyDescent="0.25">
      <c r="E9" s="8" t="s">
        <v>9</v>
      </c>
      <c r="F9" s="9">
        <v>3.8</v>
      </c>
      <c r="G9" s="9">
        <v>3</v>
      </c>
      <c r="H9" s="9">
        <v>3</v>
      </c>
      <c r="I9" s="9">
        <v>5.5</v>
      </c>
      <c r="J9" s="9">
        <v>5.5</v>
      </c>
      <c r="K9" s="10">
        <v>5.5</v>
      </c>
    </row>
    <row r="10" spans="5:13" x14ac:dyDescent="0.25">
      <c r="E10" s="11" t="s">
        <v>10</v>
      </c>
      <c r="F10" s="12">
        <v>3</v>
      </c>
      <c r="G10" s="12">
        <v>3.4</v>
      </c>
      <c r="H10" s="12">
        <v>3.0999999999999996</v>
      </c>
      <c r="I10" s="12">
        <v>3.3</v>
      </c>
      <c r="J10" s="12">
        <v>3.4</v>
      </c>
      <c r="K10" s="13">
        <v>3.3</v>
      </c>
      <c r="M10">
        <v>3</v>
      </c>
    </row>
    <row r="11" spans="5:13" x14ac:dyDescent="0.25">
      <c r="E11" s="11" t="s">
        <v>44</v>
      </c>
      <c r="F11" s="14">
        <v>15.4</v>
      </c>
      <c r="G11" s="14">
        <v>15.5</v>
      </c>
      <c r="H11" s="14">
        <v>15.5</v>
      </c>
      <c r="I11" s="14">
        <v>15.7</v>
      </c>
      <c r="J11" s="14">
        <v>15.4</v>
      </c>
      <c r="K11" s="15">
        <v>15.8</v>
      </c>
      <c r="M11">
        <v>3.4</v>
      </c>
    </row>
    <row r="12" spans="5:13" ht="15.75" thickBot="1" x14ac:dyDescent="0.3">
      <c r="E12" s="37" t="s">
        <v>13</v>
      </c>
      <c r="F12" s="38">
        <v>3.3</v>
      </c>
      <c r="G12" s="38">
        <v>3.3</v>
      </c>
      <c r="H12" s="38">
        <v>3.3</v>
      </c>
      <c r="I12" s="38">
        <v>3.3</v>
      </c>
      <c r="J12" s="38">
        <v>3.3</v>
      </c>
      <c r="K12" s="39">
        <v>3.3</v>
      </c>
      <c r="M12">
        <v>3.0999999999999996</v>
      </c>
    </row>
    <row r="13" spans="5:13" x14ac:dyDescent="0.25">
      <c r="E13" s="8" t="s">
        <v>9</v>
      </c>
      <c r="F13" s="9">
        <v>3.4</v>
      </c>
      <c r="G13" s="9">
        <v>3.1</v>
      </c>
      <c r="H13" s="9">
        <v>3.1</v>
      </c>
      <c r="I13" s="9">
        <v>5.8</v>
      </c>
      <c r="J13" s="9">
        <v>5.7</v>
      </c>
      <c r="K13" s="10">
        <v>5.8</v>
      </c>
      <c r="M13">
        <v>3.3</v>
      </c>
    </row>
    <row r="14" spans="5:13" x14ac:dyDescent="0.25">
      <c r="E14" s="11" t="s">
        <v>10</v>
      </c>
      <c r="F14" s="12">
        <v>3.3</v>
      </c>
      <c r="G14" s="12">
        <v>3.5</v>
      </c>
      <c r="H14" s="12">
        <v>3.0999999999999996</v>
      </c>
      <c r="I14" s="12">
        <v>3.3</v>
      </c>
      <c r="J14" s="12">
        <v>3.3</v>
      </c>
      <c r="K14" s="13">
        <v>3.3</v>
      </c>
      <c r="M14">
        <v>3.4</v>
      </c>
    </row>
    <row r="15" spans="5:13" x14ac:dyDescent="0.25">
      <c r="E15" s="11" t="s">
        <v>44</v>
      </c>
      <c r="F15" s="12">
        <v>15.7</v>
      </c>
      <c r="G15" s="12">
        <v>15.6</v>
      </c>
      <c r="H15" s="12">
        <v>15.4</v>
      </c>
      <c r="I15" s="12">
        <v>15.3</v>
      </c>
      <c r="J15" s="12">
        <v>15.5</v>
      </c>
      <c r="K15" s="13">
        <v>15.6</v>
      </c>
      <c r="M15">
        <v>3.3</v>
      </c>
    </row>
    <row r="16" spans="5:13" ht="15.75" thickBot="1" x14ac:dyDescent="0.3">
      <c r="E16" s="37" t="s">
        <v>13</v>
      </c>
      <c r="F16" s="38">
        <f t="shared" ref="F16:K16" si="0">F12-0.025</f>
        <v>3.2749999999999999</v>
      </c>
      <c r="G16" s="38">
        <f t="shared" si="0"/>
        <v>3.2749999999999999</v>
      </c>
      <c r="H16" s="38">
        <f t="shared" si="0"/>
        <v>3.2749999999999999</v>
      </c>
      <c r="I16" s="38">
        <f t="shared" si="0"/>
        <v>3.2749999999999999</v>
      </c>
      <c r="J16" s="38">
        <f t="shared" si="0"/>
        <v>3.2749999999999999</v>
      </c>
      <c r="K16" s="38">
        <f t="shared" si="0"/>
        <v>3.2749999999999999</v>
      </c>
      <c r="M16">
        <v>3.3</v>
      </c>
    </row>
    <row r="17" spans="5:13" x14ac:dyDescent="0.25">
      <c r="E17" s="8" t="s">
        <v>9</v>
      </c>
      <c r="F17" s="40">
        <v>3.4</v>
      </c>
      <c r="G17" s="40">
        <v>3.05</v>
      </c>
      <c r="H17" s="40">
        <v>3.1</v>
      </c>
      <c r="I17" s="40">
        <v>5.6</v>
      </c>
      <c r="J17" s="40">
        <v>5.4</v>
      </c>
      <c r="K17" s="41">
        <v>5.4</v>
      </c>
      <c r="M17">
        <v>3.5</v>
      </c>
    </row>
    <row r="18" spans="5:13" x14ac:dyDescent="0.25">
      <c r="E18" s="11" t="s">
        <v>10</v>
      </c>
      <c r="F18" s="12">
        <v>3.0999999999999996</v>
      </c>
      <c r="G18" s="12">
        <v>3.4</v>
      </c>
      <c r="H18" s="12">
        <v>3.1999999999999997</v>
      </c>
      <c r="I18" s="12">
        <v>3.5</v>
      </c>
      <c r="J18" s="12">
        <v>3.4</v>
      </c>
      <c r="K18" s="13">
        <v>3.4</v>
      </c>
      <c r="M18">
        <v>3.0999999999999996</v>
      </c>
    </row>
    <row r="19" spans="5:13" x14ac:dyDescent="0.25">
      <c r="E19" s="11" t="s">
        <v>44</v>
      </c>
      <c r="F19" s="12">
        <v>15.4</v>
      </c>
      <c r="G19" s="12">
        <v>15.5</v>
      </c>
      <c r="H19" s="12">
        <v>15.4</v>
      </c>
      <c r="I19" s="12">
        <v>15.3</v>
      </c>
      <c r="J19" s="12">
        <v>15.5</v>
      </c>
      <c r="K19" s="13">
        <v>15.7</v>
      </c>
      <c r="M19">
        <v>3.3</v>
      </c>
    </row>
    <row r="20" spans="5:13" ht="15.75" thickBot="1" x14ac:dyDescent="0.3">
      <c r="E20" s="37" t="s">
        <v>13</v>
      </c>
      <c r="F20" s="38">
        <f t="shared" ref="F20:K20" si="1">F16-0.025</f>
        <v>3.25</v>
      </c>
      <c r="G20" s="38">
        <f t="shared" si="1"/>
        <v>3.25</v>
      </c>
      <c r="H20" s="38">
        <f t="shared" si="1"/>
        <v>3.25</v>
      </c>
      <c r="I20" s="38">
        <f t="shared" si="1"/>
        <v>3.25</v>
      </c>
      <c r="J20" s="38">
        <f t="shared" si="1"/>
        <v>3.25</v>
      </c>
      <c r="K20" s="38">
        <f t="shared" si="1"/>
        <v>3.25</v>
      </c>
      <c r="M20">
        <v>3.3</v>
      </c>
    </row>
    <row r="21" spans="5:13" x14ac:dyDescent="0.25">
      <c r="E21" s="8" t="s">
        <v>9</v>
      </c>
      <c r="F21" s="9">
        <v>3.35</v>
      </c>
      <c r="G21" s="9">
        <v>3</v>
      </c>
      <c r="H21" s="9">
        <v>3.1</v>
      </c>
      <c r="I21" s="9">
        <v>5.8</v>
      </c>
      <c r="J21" s="9">
        <v>5.65</v>
      </c>
      <c r="K21" s="10">
        <v>5.8</v>
      </c>
      <c r="M21">
        <v>3.3</v>
      </c>
    </row>
    <row r="22" spans="5:13" x14ac:dyDescent="0.25">
      <c r="E22" s="11" t="s">
        <v>10</v>
      </c>
      <c r="F22" s="12">
        <v>3.3</v>
      </c>
      <c r="G22" s="12">
        <v>3.4</v>
      </c>
      <c r="H22" s="12">
        <v>3.0999999999999996</v>
      </c>
      <c r="I22" s="12">
        <v>3.4</v>
      </c>
      <c r="J22" s="12">
        <v>3.3</v>
      </c>
      <c r="K22" s="13">
        <v>3.3</v>
      </c>
      <c r="M22">
        <v>3.0999999999999996</v>
      </c>
    </row>
    <row r="23" spans="5:13" x14ac:dyDescent="0.25">
      <c r="E23" s="11" t="s">
        <v>44</v>
      </c>
      <c r="F23" s="12">
        <v>16.100000000000001</v>
      </c>
      <c r="G23" s="12">
        <v>15.8</v>
      </c>
      <c r="H23" s="12">
        <v>15.9</v>
      </c>
      <c r="I23" s="12">
        <v>15.9</v>
      </c>
      <c r="J23" s="12">
        <v>16</v>
      </c>
      <c r="K23" s="13">
        <v>16</v>
      </c>
      <c r="M23">
        <v>3.4</v>
      </c>
    </row>
    <row r="24" spans="5:13" ht="15.75" thickBot="1" x14ac:dyDescent="0.3">
      <c r="E24" s="37" t="s">
        <v>13</v>
      </c>
      <c r="F24" s="38">
        <f t="shared" ref="F24:K24" si="2">F20-0.025</f>
        <v>3.2250000000000001</v>
      </c>
      <c r="G24" s="38">
        <f t="shared" si="2"/>
        <v>3.2250000000000001</v>
      </c>
      <c r="H24" s="38">
        <f t="shared" si="2"/>
        <v>3.2250000000000001</v>
      </c>
      <c r="I24" s="38">
        <f t="shared" si="2"/>
        <v>3.2250000000000001</v>
      </c>
      <c r="J24" s="38">
        <f t="shared" si="2"/>
        <v>3.2250000000000001</v>
      </c>
      <c r="K24" s="38">
        <f t="shared" si="2"/>
        <v>3.2250000000000001</v>
      </c>
      <c r="M24">
        <v>3.1999999999999997</v>
      </c>
    </row>
    <row r="25" spans="5:13" x14ac:dyDescent="0.25">
      <c r="E25" s="42" t="s">
        <v>9</v>
      </c>
      <c r="F25" s="43">
        <v>3.1</v>
      </c>
      <c r="G25" s="43">
        <v>3.05</v>
      </c>
      <c r="H25" s="43">
        <v>3</v>
      </c>
      <c r="I25" s="43">
        <v>5.5</v>
      </c>
      <c r="J25" s="43">
        <v>5.45</v>
      </c>
      <c r="K25" s="44">
        <v>5.4</v>
      </c>
      <c r="M25">
        <v>3.5</v>
      </c>
    </row>
    <row r="26" spans="5:13" x14ac:dyDescent="0.25">
      <c r="E26" s="46" t="s">
        <v>10</v>
      </c>
      <c r="F26" s="47">
        <v>3.0999999999999996</v>
      </c>
      <c r="G26" s="47">
        <v>3.3</v>
      </c>
      <c r="H26" s="47">
        <v>3</v>
      </c>
      <c r="I26" s="47">
        <v>3.3</v>
      </c>
      <c r="J26" s="47">
        <v>3.1999999999999997</v>
      </c>
      <c r="K26" s="48">
        <v>3.1999999999999997</v>
      </c>
      <c r="M26">
        <v>3.4</v>
      </c>
    </row>
    <row r="27" spans="5:13" x14ac:dyDescent="0.25">
      <c r="E27" s="46" t="s">
        <v>44</v>
      </c>
      <c r="F27" s="47">
        <v>15.6</v>
      </c>
      <c r="G27" s="47">
        <v>15.5</v>
      </c>
      <c r="H27" s="47">
        <v>15.5</v>
      </c>
      <c r="I27" s="47">
        <v>15.7</v>
      </c>
      <c r="J27" s="47">
        <v>15.4</v>
      </c>
      <c r="K27" s="48">
        <v>15.5</v>
      </c>
      <c r="M27">
        <v>3.4</v>
      </c>
    </row>
    <row r="28" spans="5:13" ht="15.75" thickBot="1" x14ac:dyDescent="0.3">
      <c r="E28" s="49" t="s">
        <v>13</v>
      </c>
      <c r="F28" s="50">
        <f t="shared" ref="F28:K28" si="3">F24-0.025</f>
        <v>3.2</v>
      </c>
      <c r="G28" s="50">
        <f t="shared" si="3"/>
        <v>3.2</v>
      </c>
      <c r="H28" s="50">
        <f t="shared" si="3"/>
        <v>3.2</v>
      </c>
      <c r="I28" s="50">
        <f t="shared" si="3"/>
        <v>3.2</v>
      </c>
      <c r="J28" s="50">
        <f t="shared" si="3"/>
        <v>3.2</v>
      </c>
      <c r="K28" s="50">
        <f t="shared" si="3"/>
        <v>3.2</v>
      </c>
      <c r="M28">
        <v>3.3</v>
      </c>
    </row>
    <row r="29" spans="5:13" x14ac:dyDescent="0.25">
      <c r="E29" s="8" t="s">
        <v>9</v>
      </c>
      <c r="F29" s="9">
        <v>3.2</v>
      </c>
      <c r="G29" s="9">
        <v>3.05</v>
      </c>
      <c r="H29" s="9">
        <v>3</v>
      </c>
      <c r="I29" s="9">
        <v>5.4</v>
      </c>
      <c r="J29" s="9">
        <v>5.3</v>
      </c>
      <c r="K29" s="10">
        <v>5.4</v>
      </c>
      <c r="M29">
        <v>3.4</v>
      </c>
    </row>
    <row r="30" spans="5:13" x14ac:dyDescent="0.25">
      <c r="E30" s="11" t="s">
        <v>10</v>
      </c>
      <c r="F30" s="12">
        <v>3.0999999999999996</v>
      </c>
      <c r="G30" s="12">
        <v>3.3</v>
      </c>
      <c r="H30" s="12">
        <v>3.0999999999999996</v>
      </c>
      <c r="I30" s="12">
        <v>3.3</v>
      </c>
      <c r="J30" s="12">
        <v>3.1999999999999997</v>
      </c>
      <c r="K30" s="13">
        <v>3.1999999999999997</v>
      </c>
      <c r="M30">
        <v>3.0999999999999996</v>
      </c>
    </row>
    <row r="31" spans="5:13" x14ac:dyDescent="0.25">
      <c r="E31" s="11" t="s">
        <v>44</v>
      </c>
      <c r="F31" s="12">
        <v>16</v>
      </c>
      <c r="G31" s="12">
        <v>15.4</v>
      </c>
      <c r="H31" s="12">
        <v>15.5</v>
      </c>
      <c r="I31" s="12">
        <v>15.8</v>
      </c>
      <c r="J31" s="12">
        <v>15.9</v>
      </c>
      <c r="K31" s="13">
        <v>16</v>
      </c>
      <c r="M31">
        <v>3.4</v>
      </c>
    </row>
    <row r="32" spans="5:13" ht="15.75" thickBot="1" x14ac:dyDescent="0.3">
      <c r="E32" s="37" t="s">
        <v>13</v>
      </c>
      <c r="F32" s="51">
        <f t="shared" ref="F32:K32" si="4">F28-0.4</f>
        <v>2.8000000000000003</v>
      </c>
      <c r="G32" s="51">
        <f t="shared" si="4"/>
        <v>2.8000000000000003</v>
      </c>
      <c r="H32" s="51">
        <f t="shared" si="4"/>
        <v>2.8000000000000003</v>
      </c>
      <c r="I32" s="51">
        <f t="shared" si="4"/>
        <v>2.8000000000000003</v>
      </c>
      <c r="J32" s="51">
        <f t="shared" si="4"/>
        <v>2.8000000000000003</v>
      </c>
      <c r="K32" s="51">
        <f t="shared" si="4"/>
        <v>2.8000000000000003</v>
      </c>
      <c r="M32">
        <v>3.3</v>
      </c>
    </row>
    <row r="33" spans="5:13" x14ac:dyDescent="0.25">
      <c r="E33" s="8" t="s">
        <v>9</v>
      </c>
      <c r="F33" s="9">
        <v>3.1</v>
      </c>
      <c r="G33" s="9">
        <v>3.05</v>
      </c>
      <c r="H33" s="9">
        <v>3.05</v>
      </c>
      <c r="I33" s="9">
        <v>5.35</v>
      </c>
      <c r="J33" s="9">
        <v>5.3</v>
      </c>
      <c r="K33" s="10">
        <v>5.5</v>
      </c>
      <c r="M33">
        <v>3.3</v>
      </c>
    </row>
    <row r="34" spans="5:13" x14ac:dyDescent="0.25">
      <c r="E34" s="11" t="s">
        <v>10</v>
      </c>
      <c r="F34" s="12">
        <v>3.1999999999999997</v>
      </c>
      <c r="G34" s="12">
        <v>3.3</v>
      </c>
      <c r="H34" s="12">
        <v>3.0999999999999996</v>
      </c>
      <c r="I34" s="12">
        <v>3.3</v>
      </c>
      <c r="J34" s="12">
        <v>3.1999999999999997</v>
      </c>
      <c r="K34" s="13">
        <v>3.1999999999999997</v>
      </c>
      <c r="M34">
        <v>3.0999999999999996</v>
      </c>
    </row>
    <row r="35" spans="5:13" x14ac:dyDescent="0.25">
      <c r="E35" s="11" t="s">
        <v>44</v>
      </c>
      <c r="F35" s="12">
        <v>15.8</v>
      </c>
      <c r="G35" s="12">
        <v>15.8</v>
      </c>
      <c r="H35" s="12">
        <v>15.6</v>
      </c>
      <c r="I35" s="12">
        <v>16</v>
      </c>
      <c r="J35" s="12">
        <v>15.9</v>
      </c>
      <c r="K35" s="13">
        <v>15.7</v>
      </c>
      <c r="M35">
        <v>3.3</v>
      </c>
    </row>
    <row r="36" spans="5:13" ht="15.75" thickBot="1" x14ac:dyDescent="0.3">
      <c r="E36" s="37" t="s">
        <v>13</v>
      </c>
      <c r="F36" s="38">
        <f t="shared" ref="F36:K36" si="5">F32-0.025</f>
        <v>2.7750000000000004</v>
      </c>
      <c r="G36" s="38">
        <f t="shared" si="5"/>
        <v>2.7750000000000004</v>
      </c>
      <c r="H36" s="38">
        <f t="shared" si="5"/>
        <v>2.7750000000000004</v>
      </c>
      <c r="I36" s="38">
        <f t="shared" si="5"/>
        <v>2.7750000000000004</v>
      </c>
      <c r="J36" s="38">
        <f t="shared" si="5"/>
        <v>2.7750000000000004</v>
      </c>
      <c r="K36" s="38">
        <f t="shared" si="5"/>
        <v>2.7750000000000004</v>
      </c>
      <c r="M36">
        <v>3</v>
      </c>
    </row>
    <row r="37" spans="5:13" x14ac:dyDescent="0.25">
      <c r="E37" s="42" t="s">
        <v>9</v>
      </c>
      <c r="F37" s="43">
        <v>3</v>
      </c>
      <c r="G37" s="43">
        <v>3</v>
      </c>
      <c r="H37" s="43">
        <v>3</v>
      </c>
      <c r="I37" s="43">
        <v>5.2</v>
      </c>
      <c r="J37" s="43">
        <v>5.35</v>
      </c>
      <c r="K37" s="44">
        <v>5.45</v>
      </c>
      <c r="M37">
        <v>3.3</v>
      </c>
    </row>
    <row r="38" spans="5:13" x14ac:dyDescent="0.25">
      <c r="E38" s="46" t="s">
        <v>10</v>
      </c>
      <c r="F38" s="47">
        <v>3.0999999999999996</v>
      </c>
      <c r="G38" s="47">
        <v>3.3</v>
      </c>
      <c r="H38" s="47">
        <v>3</v>
      </c>
      <c r="I38" s="47">
        <v>3.0999999999999996</v>
      </c>
      <c r="J38" s="47">
        <v>3.0999999999999996</v>
      </c>
      <c r="K38" s="48">
        <v>3.0999999999999996</v>
      </c>
      <c r="M38">
        <v>3.1999999999999997</v>
      </c>
    </row>
    <row r="39" spans="5:13" x14ac:dyDescent="0.25">
      <c r="E39" s="46" t="s">
        <v>44</v>
      </c>
      <c r="F39" s="47">
        <v>15.7</v>
      </c>
      <c r="G39" s="47">
        <v>15.5</v>
      </c>
      <c r="H39" s="47">
        <v>15.9</v>
      </c>
      <c r="I39" s="47">
        <v>16</v>
      </c>
      <c r="J39" s="47">
        <v>15.9</v>
      </c>
      <c r="K39" s="48">
        <v>15.8</v>
      </c>
      <c r="M39">
        <v>3.1999999999999997</v>
      </c>
    </row>
    <row r="40" spans="5:13" ht="15.75" thickBot="1" x14ac:dyDescent="0.3">
      <c r="E40" s="49" t="s">
        <v>13</v>
      </c>
      <c r="F40" s="50">
        <f t="shared" ref="F40:K40" si="6">F36-0.025</f>
        <v>2.7500000000000004</v>
      </c>
      <c r="G40" s="50">
        <f t="shared" si="6"/>
        <v>2.7500000000000004</v>
      </c>
      <c r="H40" s="50">
        <f t="shared" si="6"/>
        <v>2.7500000000000004</v>
      </c>
      <c r="I40" s="50">
        <f t="shared" si="6"/>
        <v>2.7500000000000004</v>
      </c>
      <c r="J40" s="50">
        <f t="shared" si="6"/>
        <v>2.7500000000000004</v>
      </c>
      <c r="K40" s="50">
        <f t="shared" si="6"/>
        <v>2.7500000000000004</v>
      </c>
      <c r="M40">
        <v>3.0999999999999996</v>
      </c>
    </row>
    <row r="41" spans="5:13" x14ac:dyDescent="0.25">
      <c r="E41" s="8" t="s">
        <v>9</v>
      </c>
      <c r="F41" s="9">
        <v>3.4</v>
      </c>
      <c r="G41" s="9">
        <v>3.25</v>
      </c>
      <c r="H41" s="9">
        <v>3.05</v>
      </c>
      <c r="I41" s="9">
        <v>5.2</v>
      </c>
      <c r="J41" s="9">
        <v>5.05</v>
      </c>
      <c r="K41" s="10">
        <v>5</v>
      </c>
      <c r="M41">
        <v>3.3</v>
      </c>
    </row>
    <row r="42" spans="5:13" x14ac:dyDescent="0.25">
      <c r="E42" s="11" t="s">
        <v>10</v>
      </c>
      <c r="F42" s="12">
        <v>3</v>
      </c>
      <c r="G42" s="12">
        <v>3.1999999999999997</v>
      </c>
      <c r="H42" s="12">
        <v>3</v>
      </c>
      <c r="I42" s="12">
        <v>3</v>
      </c>
      <c r="J42" s="12">
        <v>3.0999999999999996</v>
      </c>
      <c r="K42" s="13">
        <v>3</v>
      </c>
      <c r="M42">
        <v>3.0999999999999996</v>
      </c>
    </row>
    <row r="43" spans="5:13" x14ac:dyDescent="0.25">
      <c r="E43" s="11" t="s">
        <v>44</v>
      </c>
      <c r="F43" s="53">
        <v>16.5</v>
      </c>
      <c r="G43" s="53">
        <v>16.399999999999999</v>
      </c>
      <c r="H43" s="53">
        <v>16.399999999999999</v>
      </c>
      <c r="I43" s="53">
        <v>16.5</v>
      </c>
      <c r="J43" s="53">
        <v>16.3</v>
      </c>
      <c r="K43" s="54">
        <v>16.2</v>
      </c>
      <c r="M43">
        <v>3.3</v>
      </c>
    </row>
    <row r="44" spans="5:13" ht="15.75" thickBot="1" x14ac:dyDescent="0.3">
      <c r="E44" s="37" t="s">
        <v>13</v>
      </c>
      <c r="F44" s="51">
        <f t="shared" ref="F44:K44" si="7">F40-0.4</f>
        <v>2.3500000000000005</v>
      </c>
      <c r="G44" s="51">
        <f t="shared" si="7"/>
        <v>2.3500000000000005</v>
      </c>
      <c r="H44" s="51">
        <f t="shared" si="7"/>
        <v>2.3500000000000005</v>
      </c>
      <c r="I44" s="51">
        <f t="shared" si="7"/>
        <v>2.3500000000000005</v>
      </c>
      <c r="J44" s="51">
        <f t="shared" si="7"/>
        <v>2.3500000000000005</v>
      </c>
      <c r="K44" s="51">
        <f t="shared" si="7"/>
        <v>2.3500000000000005</v>
      </c>
      <c r="M44">
        <v>3.1999999999999997</v>
      </c>
    </row>
    <row r="45" spans="5:13" x14ac:dyDescent="0.25">
      <c r="E45" s="8" t="s">
        <v>9</v>
      </c>
      <c r="F45" s="9">
        <v>3.35</v>
      </c>
      <c r="G45" s="9">
        <v>3.15</v>
      </c>
      <c r="H45" s="9">
        <v>3</v>
      </c>
      <c r="I45" s="9">
        <v>5.15</v>
      </c>
      <c r="J45" s="9">
        <v>5.05</v>
      </c>
      <c r="K45" s="10">
        <v>5</v>
      </c>
      <c r="M45">
        <v>3.1999999999999997</v>
      </c>
    </row>
    <row r="46" spans="5:13" x14ac:dyDescent="0.25">
      <c r="E46" s="11" t="s">
        <v>10</v>
      </c>
      <c r="F46" s="12">
        <v>3</v>
      </c>
      <c r="G46" s="12">
        <v>3.1999999999999997</v>
      </c>
      <c r="H46" s="12">
        <v>3</v>
      </c>
      <c r="I46" s="12">
        <v>3</v>
      </c>
      <c r="J46" s="12">
        <v>3</v>
      </c>
      <c r="K46" s="13">
        <v>3.0999999999999996</v>
      </c>
      <c r="M46">
        <v>3.1999999999999997</v>
      </c>
    </row>
    <row r="47" spans="5:13" x14ac:dyDescent="0.25">
      <c r="E47" s="11" t="s">
        <v>44</v>
      </c>
      <c r="F47" s="12"/>
      <c r="G47" s="12"/>
      <c r="H47" s="12"/>
      <c r="I47" s="12"/>
      <c r="J47" s="12"/>
      <c r="K47" s="13"/>
      <c r="M47">
        <v>3.3</v>
      </c>
    </row>
    <row r="48" spans="5:13" ht="15.75" thickBot="1" x14ac:dyDescent="0.3">
      <c r="E48" s="37" t="s">
        <v>13</v>
      </c>
      <c r="F48" s="38">
        <f t="shared" ref="F48:K48" si="8">F44-0.025</f>
        <v>2.3250000000000006</v>
      </c>
      <c r="G48" s="38">
        <f t="shared" si="8"/>
        <v>2.3250000000000006</v>
      </c>
      <c r="H48" s="38">
        <f t="shared" si="8"/>
        <v>2.3250000000000006</v>
      </c>
      <c r="I48" s="38">
        <f t="shared" si="8"/>
        <v>2.3250000000000006</v>
      </c>
      <c r="J48" s="38">
        <f t="shared" si="8"/>
        <v>2.3250000000000006</v>
      </c>
      <c r="K48" s="38">
        <f t="shared" si="8"/>
        <v>2.3250000000000006</v>
      </c>
      <c r="M48">
        <v>3.0999999999999996</v>
      </c>
    </row>
    <row r="49" spans="5:13" x14ac:dyDescent="0.25">
      <c r="E49" s="8" t="s">
        <v>9</v>
      </c>
      <c r="F49" s="9">
        <v>3.35</v>
      </c>
      <c r="G49" s="9">
        <v>3.1</v>
      </c>
      <c r="H49" s="9">
        <v>3</v>
      </c>
      <c r="I49" s="9">
        <v>5.0999999999999996</v>
      </c>
      <c r="J49" s="9">
        <v>5</v>
      </c>
      <c r="K49" s="10">
        <v>5</v>
      </c>
      <c r="M49">
        <v>3.3</v>
      </c>
    </row>
    <row r="50" spans="5:13" x14ac:dyDescent="0.25">
      <c r="E50" s="11" t="s">
        <v>10</v>
      </c>
      <c r="F50" s="12">
        <v>3</v>
      </c>
      <c r="G50" s="12">
        <v>3.1999999999999997</v>
      </c>
      <c r="H50" s="12">
        <v>3</v>
      </c>
      <c r="I50" s="12">
        <v>3</v>
      </c>
      <c r="J50" s="12">
        <v>3</v>
      </c>
      <c r="K50" s="13">
        <v>2.9</v>
      </c>
      <c r="M50">
        <v>3.1999999999999997</v>
      </c>
    </row>
    <row r="51" spans="5:13" x14ac:dyDescent="0.25">
      <c r="E51" s="11" t="s">
        <v>44</v>
      </c>
      <c r="F51" s="12">
        <v>15.9</v>
      </c>
      <c r="G51" s="12">
        <v>16</v>
      </c>
      <c r="H51" s="12">
        <v>15.8</v>
      </c>
      <c r="I51" s="12">
        <v>16.100000000000001</v>
      </c>
      <c r="J51" s="12">
        <v>16</v>
      </c>
      <c r="K51" s="13">
        <v>15.8</v>
      </c>
      <c r="M51">
        <v>3.1999999999999997</v>
      </c>
    </row>
    <row r="52" spans="5:13" ht="15.75" thickBot="1" x14ac:dyDescent="0.3">
      <c r="E52" s="17" t="s">
        <v>13</v>
      </c>
      <c r="F52" s="18">
        <f t="shared" ref="F52:K52" si="9">F48-0.025</f>
        <v>2.3000000000000007</v>
      </c>
      <c r="G52" s="18">
        <f t="shared" si="9"/>
        <v>2.3000000000000007</v>
      </c>
      <c r="H52" s="18">
        <f t="shared" si="9"/>
        <v>2.3000000000000007</v>
      </c>
      <c r="I52" s="18">
        <f t="shared" si="9"/>
        <v>2.3000000000000007</v>
      </c>
      <c r="J52" s="18">
        <f t="shared" si="9"/>
        <v>2.3000000000000007</v>
      </c>
      <c r="K52" s="56">
        <f t="shared" si="9"/>
        <v>2.3000000000000007</v>
      </c>
      <c r="M52">
        <v>3.0999999999999996</v>
      </c>
    </row>
    <row r="53" spans="5:13" x14ac:dyDescent="0.25">
      <c r="E53" s="42" t="s">
        <v>9</v>
      </c>
      <c r="F53" s="43">
        <v>3.2</v>
      </c>
      <c r="G53" s="43">
        <v>3.1</v>
      </c>
      <c r="H53" s="43">
        <v>2.95</v>
      </c>
      <c r="I53" s="43">
        <v>5.05</v>
      </c>
      <c r="J53" s="43">
        <v>4.95</v>
      </c>
      <c r="K53" s="44">
        <v>5</v>
      </c>
      <c r="M53">
        <v>3.3</v>
      </c>
    </row>
    <row r="54" spans="5:13" x14ac:dyDescent="0.25">
      <c r="E54" s="46" t="s">
        <v>10</v>
      </c>
      <c r="F54" s="47">
        <v>2.9</v>
      </c>
      <c r="G54" s="47">
        <v>3.0999999999999996</v>
      </c>
      <c r="H54" s="47">
        <v>3</v>
      </c>
      <c r="I54" s="47">
        <v>2.9</v>
      </c>
      <c r="J54" s="47">
        <v>3</v>
      </c>
      <c r="K54" s="48">
        <v>2.9</v>
      </c>
      <c r="M54">
        <v>3</v>
      </c>
    </row>
    <row r="55" spans="5:13" x14ac:dyDescent="0.25">
      <c r="E55" s="46" t="s">
        <v>44</v>
      </c>
      <c r="F55" s="47">
        <v>15.4</v>
      </c>
      <c r="G55" s="47">
        <v>15.5</v>
      </c>
      <c r="H55" s="47">
        <v>15.8</v>
      </c>
      <c r="I55" s="47">
        <v>15.5</v>
      </c>
      <c r="J55" s="47">
        <v>15.6</v>
      </c>
      <c r="K55" s="48">
        <v>15.6</v>
      </c>
      <c r="M55">
        <v>3.0999999999999996</v>
      </c>
    </row>
    <row r="56" spans="5:13" ht="15.75" thickBot="1" x14ac:dyDescent="0.3">
      <c r="E56" s="57" t="s">
        <v>13</v>
      </c>
      <c r="F56" s="58">
        <f t="shared" ref="F56:K56" si="10">F52-0.025</f>
        <v>2.2750000000000008</v>
      </c>
      <c r="G56" s="58">
        <f t="shared" si="10"/>
        <v>2.2750000000000008</v>
      </c>
      <c r="H56" s="58">
        <f t="shared" si="10"/>
        <v>2.2750000000000008</v>
      </c>
      <c r="I56" s="58">
        <f t="shared" si="10"/>
        <v>2.2750000000000008</v>
      </c>
      <c r="J56" s="58">
        <f t="shared" si="10"/>
        <v>2.2750000000000008</v>
      </c>
      <c r="K56" s="59">
        <f t="shared" si="10"/>
        <v>2.2750000000000008</v>
      </c>
      <c r="M56">
        <v>3.0999999999999996</v>
      </c>
    </row>
    <row r="57" spans="5:13" x14ac:dyDescent="0.25">
      <c r="E57" s="60" t="s">
        <v>9</v>
      </c>
      <c r="F57" s="40">
        <v>3.4</v>
      </c>
      <c r="G57" s="40">
        <v>3.2</v>
      </c>
      <c r="H57" s="40">
        <v>3.05</v>
      </c>
      <c r="I57" s="40">
        <v>5.15</v>
      </c>
      <c r="J57" s="40">
        <v>4.9000000000000004</v>
      </c>
      <c r="K57" s="41">
        <v>5.2</v>
      </c>
      <c r="M57">
        <v>3.0999999999999996</v>
      </c>
    </row>
    <row r="58" spans="5:13" x14ac:dyDescent="0.25">
      <c r="E58" s="61" t="s">
        <v>10</v>
      </c>
      <c r="F58" s="53">
        <v>3</v>
      </c>
      <c r="G58" s="53">
        <v>3.0999999999999996</v>
      </c>
      <c r="H58" s="53">
        <v>3</v>
      </c>
      <c r="I58" s="53">
        <v>2.9</v>
      </c>
      <c r="J58" s="53">
        <v>2.9</v>
      </c>
      <c r="K58" s="54">
        <v>2.9</v>
      </c>
      <c r="M58">
        <v>3</v>
      </c>
    </row>
    <row r="59" spans="5:13" x14ac:dyDescent="0.25">
      <c r="E59" s="61" t="s">
        <v>44</v>
      </c>
      <c r="F59" s="53"/>
      <c r="G59" s="53"/>
      <c r="H59" s="53"/>
      <c r="I59" s="53"/>
      <c r="J59" s="53"/>
      <c r="K59" s="54"/>
      <c r="M59">
        <v>3.1999999999999997</v>
      </c>
    </row>
    <row r="60" spans="5:13" ht="15.75" thickBot="1" x14ac:dyDescent="0.3">
      <c r="E60" s="63" t="s">
        <v>13</v>
      </c>
      <c r="F60" s="64">
        <f t="shared" ref="F60:K60" si="11">F56-0.3</f>
        <v>1.9750000000000008</v>
      </c>
      <c r="G60" s="64">
        <f t="shared" si="11"/>
        <v>1.9750000000000008</v>
      </c>
      <c r="H60" s="64">
        <f t="shared" si="11"/>
        <v>1.9750000000000008</v>
      </c>
      <c r="I60" s="64">
        <f t="shared" si="11"/>
        <v>1.9750000000000008</v>
      </c>
      <c r="J60" s="64">
        <f t="shared" si="11"/>
        <v>1.9750000000000008</v>
      </c>
      <c r="K60" s="64">
        <f t="shared" si="11"/>
        <v>1.9750000000000008</v>
      </c>
      <c r="M60">
        <v>3</v>
      </c>
    </row>
    <row r="61" spans="5:13" x14ac:dyDescent="0.25">
      <c r="E61" s="60" t="s">
        <v>9</v>
      </c>
      <c r="F61" s="40">
        <v>3.4</v>
      </c>
      <c r="G61" s="40">
        <v>3.2</v>
      </c>
      <c r="H61" s="40">
        <v>3</v>
      </c>
      <c r="I61" s="40">
        <v>5.2</v>
      </c>
      <c r="J61" s="40">
        <v>5</v>
      </c>
      <c r="K61" s="41">
        <v>5.05</v>
      </c>
      <c r="M61">
        <v>3</v>
      </c>
    </row>
    <row r="62" spans="5:13" x14ac:dyDescent="0.25">
      <c r="E62" s="61" t="s">
        <v>10</v>
      </c>
      <c r="F62" s="53">
        <v>3</v>
      </c>
      <c r="G62" s="53">
        <v>3.0999999999999996</v>
      </c>
      <c r="H62" s="53">
        <v>3</v>
      </c>
      <c r="I62" s="53">
        <v>2.9</v>
      </c>
      <c r="J62" s="53">
        <v>3</v>
      </c>
      <c r="K62" s="54">
        <v>2.9</v>
      </c>
      <c r="M62">
        <v>3.0999999999999996</v>
      </c>
    </row>
    <row r="63" spans="5:13" x14ac:dyDescent="0.25">
      <c r="E63" s="61" t="s">
        <v>44</v>
      </c>
      <c r="F63" s="53"/>
      <c r="G63" s="53"/>
      <c r="H63" s="53"/>
      <c r="I63" s="53"/>
      <c r="J63" s="53"/>
      <c r="K63" s="54"/>
      <c r="M63">
        <v>3</v>
      </c>
    </row>
    <row r="64" spans="5:13" ht="15.75" thickBot="1" x14ac:dyDescent="0.3">
      <c r="E64" s="63" t="s">
        <v>13</v>
      </c>
      <c r="F64" s="64">
        <f t="shared" ref="F64:K64" si="12">F60-0.025</f>
        <v>1.9500000000000008</v>
      </c>
      <c r="G64" s="64">
        <f t="shared" si="12"/>
        <v>1.9500000000000008</v>
      </c>
      <c r="H64" s="64">
        <f t="shared" si="12"/>
        <v>1.9500000000000008</v>
      </c>
      <c r="I64" s="64">
        <f t="shared" si="12"/>
        <v>1.9500000000000008</v>
      </c>
      <c r="J64" s="64">
        <f t="shared" si="12"/>
        <v>1.9500000000000008</v>
      </c>
      <c r="K64" s="64">
        <f t="shared" si="12"/>
        <v>1.9500000000000008</v>
      </c>
      <c r="M64">
        <v>3</v>
      </c>
    </row>
    <row r="65" spans="5:13" x14ac:dyDescent="0.25">
      <c r="E65" s="60" t="s">
        <v>9</v>
      </c>
      <c r="F65" s="40">
        <v>3.3</v>
      </c>
      <c r="G65" s="40">
        <v>3.15</v>
      </c>
      <c r="H65" s="40">
        <v>3</v>
      </c>
      <c r="I65" s="40">
        <v>5.2</v>
      </c>
      <c r="J65" s="40">
        <v>4.95</v>
      </c>
      <c r="K65" s="41">
        <v>5</v>
      </c>
      <c r="M65">
        <v>3.1999999999999997</v>
      </c>
    </row>
    <row r="66" spans="5:13" x14ac:dyDescent="0.25">
      <c r="E66" s="61" t="s">
        <v>10</v>
      </c>
      <c r="F66" s="53">
        <v>3</v>
      </c>
      <c r="G66" s="53">
        <v>3.0999999999999996</v>
      </c>
      <c r="H66" s="53">
        <v>3</v>
      </c>
      <c r="I66" s="53">
        <v>2.9</v>
      </c>
      <c r="J66" s="53">
        <v>3</v>
      </c>
      <c r="K66" s="54">
        <v>2.9</v>
      </c>
      <c r="M66">
        <v>3</v>
      </c>
    </row>
    <row r="67" spans="5:13" x14ac:dyDescent="0.25">
      <c r="E67" s="61" t="s">
        <v>44</v>
      </c>
      <c r="F67" s="53"/>
      <c r="G67" s="53"/>
      <c r="H67" s="53"/>
      <c r="I67" s="53"/>
      <c r="J67" s="53"/>
      <c r="K67" s="54"/>
      <c r="M67">
        <v>3</v>
      </c>
    </row>
    <row r="68" spans="5:13" ht="15.75" thickBot="1" x14ac:dyDescent="0.3">
      <c r="E68" s="63" t="s">
        <v>13</v>
      </c>
      <c r="F68" s="64">
        <f t="shared" ref="F68:J68" si="13">F64-0.025</f>
        <v>1.9250000000000009</v>
      </c>
      <c r="G68" s="64">
        <f t="shared" si="13"/>
        <v>1.9250000000000009</v>
      </c>
      <c r="H68" s="64">
        <f t="shared" si="13"/>
        <v>1.9250000000000009</v>
      </c>
      <c r="I68" s="64">
        <f t="shared" si="13"/>
        <v>1.9250000000000009</v>
      </c>
      <c r="J68" s="64">
        <f t="shared" si="13"/>
        <v>1.9250000000000009</v>
      </c>
      <c r="K68" s="64">
        <f>K64-0.025</f>
        <v>1.9250000000000009</v>
      </c>
      <c r="M68">
        <v>3</v>
      </c>
    </row>
    <row r="69" spans="5:13" x14ac:dyDescent="0.25">
      <c r="E69" s="60" t="s">
        <v>9</v>
      </c>
      <c r="F69" s="40">
        <v>3.35</v>
      </c>
      <c r="G69" s="40">
        <v>3.25</v>
      </c>
      <c r="H69" s="40">
        <v>3</v>
      </c>
      <c r="I69" s="40">
        <v>5.0999999999999996</v>
      </c>
      <c r="J69" s="40">
        <v>4.8</v>
      </c>
      <c r="K69" s="41">
        <v>5</v>
      </c>
      <c r="M69">
        <v>3.0999999999999996</v>
      </c>
    </row>
    <row r="70" spans="5:13" x14ac:dyDescent="0.25">
      <c r="E70" s="61" t="s">
        <v>10</v>
      </c>
      <c r="F70" s="53">
        <v>2.9499999999999997</v>
      </c>
      <c r="G70" s="53">
        <v>3.0999999999999996</v>
      </c>
      <c r="H70" s="53">
        <v>3</v>
      </c>
      <c r="I70" s="53">
        <v>2.9</v>
      </c>
      <c r="J70" s="53">
        <v>2.9</v>
      </c>
      <c r="K70" s="54">
        <v>2.8</v>
      </c>
      <c r="M70">
        <v>3</v>
      </c>
    </row>
    <row r="71" spans="5:13" x14ac:dyDescent="0.25">
      <c r="E71" s="61" t="s">
        <v>44</v>
      </c>
      <c r="F71" s="53"/>
      <c r="G71" s="53"/>
      <c r="H71" s="53"/>
      <c r="I71" s="53"/>
      <c r="J71" s="53"/>
      <c r="K71" s="54"/>
      <c r="M71">
        <v>3.1999999999999997</v>
      </c>
    </row>
    <row r="72" spans="5:13" ht="15.75" thickBot="1" x14ac:dyDescent="0.3">
      <c r="E72" s="63" t="s">
        <v>13</v>
      </c>
      <c r="F72" s="64">
        <f t="shared" ref="F72:K72" si="14">F68-0.025</f>
        <v>1.900000000000001</v>
      </c>
      <c r="G72" s="64">
        <f t="shared" si="14"/>
        <v>1.900000000000001</v>
      </c>
      <c r="H72" s="64">
        <f t="shared" si="14"/>
        <v>1.900000000000001</v>
      </c>
      <c r="I72" s="64">
        <f t="shared" si="14"/>
        <v>1.900000000000001</v>
      </c>
      <c r="J72" s="64">
        <f t="shared" si="14"/>
        <v>1.900000000000001</v>
      </c>
      <c r="K72" s="64">
        <f t="shared" si="14"/>
        <v>1.900000000000001</v>
      </c>
      <c r="M72">
        <v>3</v>
      </c>
    </row>
    <row r="73" spans="5:13" x14ac:dyDescent="0.25">
      <c r="E73" s="60" t="s">
        <v>9</v>
      </c>
      <c r="F73" s="40">
        <v>3.25</v>
      </c>
      <c r="G73" s="40">
        <v>3</v>
      </c>
      <c r="H73" s="40">
        <v>2.9</v>
      </c>
      <c r="I73" s="40">
        <v>5</v>
      </c>
      <c r="J73" s="40">
        <v>4.8</v>
      </c>
      <c r="K73" s="41">
        <v>5</v>
      </c>
      <c r="M73">
        <v>3</v>
      </c>
    </row>
    <row r="74" spans="5:13" x14ac:dyDescent="0.25">
      <c r="E74" s="61" t="s">
        <v>10</v>
      </c>
      <c r="F74" s="66">
        <v>2.9</v>
      </c>
      <c r="G74" s="66">
        <v>3</v>
      </c>
      <c r="H74" s="67">
        <v>2.9</v>
      </c>
      <c r="I74" s="66">
        <v>2.8</v>
      </c>
      <c r="J74" s="68">
        <v>2.9</v>
      </c>
      <c r="K74" s="69">
        <v>2.8</v>
      </c>
      <c r="M74">
        <v>3</v>
      </c>
    </row>
    <row r="75" spans="5:13" x14ac:dyDescent="0.25">
      <c r="E75" s="61" t="s">
        <v>44</v>
      </c>
      <c r="F75" s="53"/>
      <c r="G75" s="53"/>
      <c r="H75" s="53"/>
      <c r="I75" s="53"/>
      <c r="J75" s="53"/>
      <c r="K75" s="54"/>
      <c r="M75">
        <v>2.9</v>
      </c>
    </row>
    <row r="76" spans="5:13" ht="15.75" thickBot="1" x14ac:dyDescent="0.3">
      <c r="E76" s="63" t="s">
        <v>13</v>
      </c>
      <c r="F76" s="64">
        <f t="shared" ref="F76:K76" si="15">F72-0.025</f>
        <v>1.8750000000000011</v>
      </c>
      <c r="G76" s="64">
        <f t="shared" si="15"/>
        <v>1.8750000000000011</v>
      </c>
      <c r="H76" s="64">
        <f t="shared" si="15"/>
        <v>1.8750000000000011</v>
      </c>
      <c r="I76" s="64">
        <f t="shared" si="15"/>
        <v>1.8750000000000011</v>
      </c>
      <c r="J76" s="64">
        <f t="shared" si="15"/>
        <v>1.8750000000000011</v>
      </c>
      <c r="K76" s="64">
        <f t="shared" si="15"/>
        <v>1.8750000000000011</v>
      </c>
      <c r="M76">
        <v>2.9</v>
      </c>
    </row>
    <row r="77" spans="5:13" x14ac:dyDescent="0.25">
      <c r="E77" s="60" t="s">
        <v>9</v>
      </c>
      <c r="F77" s="40">
        <v>3.25</v>
      </c>
      <c r="G77" s="40">
        <v>3.05</v>
      </c>
      <c r="H77" s="40">
        <v>3</v>
      </c>
      <c r="I77" s="40">
        <v>5</v>
      </c>
      <c r="J77" s="40">
        <v>4.75</v>
      </c>
      <c r="K77" s="41">
        <v>4.95</v>
      </c>
      <c r="M77">
        <v>3.0999999999999996</v>
      </c>
    </row>
    <row r="78" spans="5:13" x14ac:dyDescent="0.25">
      <c r="E78" s="61" t="s">
        <v>10</v>
      </c>
      <c r="F78" s="53">
        <v>2.9</v>
      </c>
      <c r="G78" s="53">
        <v>3</v>
      </c>
      <c r="H78" s="53">
        <v>3</v>
      </c>
      <c r="I78" s="53">
        <v>2.8</v>
      </c>
      <c r="J78" s="53">
        <v>2.8</v>
      </c>
      <c r="K78" s="54">
        <v>2.8</v>
      </c>
      <c r="M78">
        <v>3</v>
      </c>
    </row>
    <row r="79" spans="5:13" x14ac:dyDescent="0.25">
      <c r="E79" s="61" t="s">
        <v>44</v>
      </c>
      <c r="F79" s="53"/>
      <c r="G79" s="53"/>
      <c r="H79" s="53"/>
      <c r="I79" s="53"/>
      <c r="J79" s="53"/>
      <c r="K79" s="54"/>
      <c r="M79">
        <v>2.9</v>
      </c>
    </row>
    <row r="80" spans="5:13" ht="15.75" thickBot="1" x14ac:dyDescent="0.3">
      <c r="E80" s="63" t="s">
        <v>13</v>
      </c>
      <c r="F80" s="64">
        <f t="shared" ref="F80:K80" si="16">F76-0.025</f>
        <v>1.8500000000000012</v>
      </c>
      <c r="G80" s="64">
        <f t="shared" si="16"/>
        <v>1.8500000000000012</v>
      </c>
      <c r="H80" s="64">
        <f t="shared" si="16"/>
        <v>1.8500000000000012</v>
      </c>
      <c r="I80" s="64">
        <f t="shared" si="16"/>
        <v>1.8500000000000012</v>
      </c>
      <c r="J80" s="64">
        <f t="shared" si="16"/>
        <v>1.8500000000000012</v>
      </c>
      <c r="K80" s="64">
        <f t="shared" si="16"/>
        <v>1.8500000000000012</v>
      </c>
      <c r="M80">
        <v>3</v>
      </c>
    </row>
    <row r="81" spans="5:13" x14ac:dyDescent="0.25">
      <c r="E81" s="60" t="s">
        <v>9</v>
      </c>
      <c r="F81" s="40">
        <v>3.2</v>
      </c>
      <c r="G81" s="40">
        <v>3</v>
      </c>
      <c r="H81" s="40">
        <v>2.95</v>
      </c>
      <c r="I81" s="40">
        <v>5</v>
      </c>
      <c r="J81" s="40">
        <v>4.7</v>
      </c>
      <c r="K81" s="41">
        <v>5</v>
      </c>
      <c r="M81">
        <v>2.9</v>
      </c>
    </row>
    <row r="82" spans="5:13" x14ac:dyDescent="0.25">
      <c r="E82" s="61" t="s">
        <v>10</v>
      </c>
      <c r="F82" s="53">
        <v>2.9</v>
      </c>
      <c r="G82" s="53">
        <v>3</v>
      </c>
      <c r="H82" s="53">
        <v>2.9</v>
      </c>
      <c r="I82" s="53">
        <v>2.8</v>
      </c>
      <c r="J82" s="53">
        <v>2.9</v>
      </c>
      <c r="K82" s="54">
        <v>2.8</v>
      </c>
      <c r="M82">
        <v>3</v>
      </c>
    </row>
    <row r="83" spans="5:13" x14ac:dyDescent="0.25">
      <c r="E83" s="61" t="s">
        <v>44</v>
      </c>
      <c r="F83" s="53"/>
      <c r="G83" s="53"/>
      <c r="H83" s="53"/>
      <c r="I83" s="53"/>
      <c r="J83" s="53"/>
      <c r="K83" s="54"/>
      <c r="M83">
        <v>3.0999999999999996</v>
      </c>
    </row>
    <row r="84" spans="5:13" ht="15.75" thickBot="1" x14ac:dyDescent="0.3">
      <c r="E84" s="63" t="s">
        <v>13</v>
      </c>
      <c r="F84" s="64">
        <f t="shared" ref="F84:K84" si="17">F80-0.025</f>
        <v>1.8250000000000013</v>
      </c>
      <c r="G84" s="64">
        <f t="shared" si="17"/>
        <v>1.8250000000000013</v>
      </c>
      <c r="H84" s="64">
        <f t="shared" si="17"/>
        <v>1.8250000000000013</v>
      </c>
      <c r="I84" s="64">
        <f t="shared" si="17"/>
        <v>1.8250000000000013</v>
      </c>
      <c r="J84" s="64">
        <f t="shared" si="17"/>
        <v>1.8250000000000013</v>
      </c>
      <c r="K84" s="64">
        <f t="shared" si="17"/>
        <v>1.8250000000000013</v>
      </c>
      <c r="M84">
        <v>3</v>
      </c>
    </row>
    <row r="85" spans="5:13" x14ac:dyDescent="0.25">
      <c r="E85" s="42" t="s">
        <v>9</v>
      </c>
      <c r="F85" s="74">
        <v>3.2</v>
      </c>
      <c r="G85" s="74">
        <v>3</v>
      </c>
      <c r="H85" s="74">
        <v>2.9</v>
      </c>
      <c r="I85" s="74">
        <v>4.95</v>
      </c>
      <c r="J85" s="74">
        <v>4.7</v>
      </c>
      <c r="K85" s="75">
        <v>4.9000000000000004</v>
      </c>
      <c r="M85">
        <v>2.9</v>
      </c>
    </row>
    <row r="86" spans="5:13" x14ac:dyDescent="0.25">
      <c r="E86" s="46" t="s">
        <v>10</v>
      </c>
      <c r="F86" s="76">
        <v>2.9</v>
      </c>
      <c r="G86" s="76">
        <v>3</v>
      </c>
      <c r="H86" s="76">
        <v>2.9</v>
      </c>
      <c r="I86" s="76">
        <v>2.8</v>
      </c>
      <c r="J86" s="76">
        <v>2.9</v>
      </c>
      <c r="K86" s="77">
        <v>2.8</v>
      </c>
      <c r="M86">
        <v>2.9</v>
      </c>
    </row>
    <row r="87" spans="5:13" x14ac:dyDescent="0.25">
      <c r="E87" s="46" t="s">
        <v>44</v>
      </c>
      <c r="F87" s="47"/>
      <c r="G87" s="47"/>
      <c r="H87" s="47"/>
      <c r="I87" s="47"/>
      <c r="J87" s="47"/>
      <c r="K87" s="48"/>
      <c r="M87">
        <v>2.9</v>
      </c>
    </row>
    <row r="88" spans="5:13" ht="15.75" thickBot="1" x14ac:dyDescent="0.3">
      <c r="E88" s="57" t="s">
        <v>13</v>
      </c>
      <c r="F88" s="58">
        <f t="shared" ref="F88:K88" si="18">F84-0.025</f>
        <v>1.8000000000000014</v>
      </c>
      <c r="G88" s="58">
        <f t="shared" si="18"/>
        <v>1.8000000000000014</v>
      </c>
      <c r="H88" s="58">
        <f t="shared" si="18"/>
        <v>1.8000000000000014</v>
      </c>
      <c r="I88" s="58">
        <f t="shared" si="18"/>
        <v>1.8000000000000014</v>
      </c>
      <c r="J88" s="58">
        <f t="shared" si="18"/>
        <v>1.8000000000000014</v>
      </c>
      <c r="K88" s="58">
        <f t="shared" si="18"/>
        <v>1.8000000000000014</v>
      </c>
      <c r="M88">
        <v>3</v>
      </c>
    </row>
    <row r="89" spans="5:13" x14ac:dyDescent="0.25">
      <c r="M89">
        <v>3.0999999999999996</v>
      </c>
    </row>
    <row r="90" spans="5:13" x14ac:dyDescent="0.25">
      <c r="M90">
        <v>3</v>
      </c>
    </row>
    <row r="91" spans="5:13" x14ac:dyDescent="0.25">
      <c r="M91">
        <v>2.9</v>
      </c>
    </row>
    <row r="92" spans="5:13" x14ac:dyDescent="0.25">
      <c r="M92">
        <v>3</v>
      </c>
    </row>
    <row r="93" spans="5:13" x14ac:dyDescent="0.25">
      <c r="M93">
        <v>2.9</v>
      </c>
    </row>
    <row r="94" spans="5:13" x14ac:dyDescent="0.25">
      <c r="M94">
        <v>3</v>
      </c>
    </row>
    <row r="95" spans="5:13" x14ac:dyDescent="0.25">
      <c r="M95">
        <v>3.0999999999999996</v>
      </c>
    </row>
    <row r="96" spans="5:13" x14ac:dyDescent="0.25">
      <c r="M96">
        <v>3</v>
      </c>
    </row>
    <row r="97" spans="13:13" x14ac:dyDescent="0.25">
      <c r="M97">
        <v>2.9</v>
      </c>
    </row>
    <row r="98" spans="13:13" x14ac:dyDescent="0.25">
      <c r="M98">
        <v>3</v>
      </c>
    </row>
    <row r="99" spans="13:13" x14ac:dyDescent="0.25">
      <c r="M99">
        <v>2.9</v>
      </c>
    </row>
    <row r="100" spans="13:13" x14ac:dyDescent="0.25">
      <c r="M100">
        <v>2.9499999999999997</v>
      </c>
    </row>
    <row r="101" spans="13:13" x14ac:dyDescent="0.25">
      <c r="M101">
        <v>3.0999999999999996</v>
      </c>
    </row>
    <row r="102" spans="13:13" x14ac:dyDescent="0.25">
      <c r="M102">
        <v>3</v>
      </c>
    </row>
    <row r="103" spans="13:13" x14ac:dyDescent="0.25">
      <c r="M103">
        <v>2.9</v>
      </c>
    </row>
    <row r="104" spans="13:13" x14ac:dyDescent="0.25">
      <c r="M104">
        <v>2.9</v>
      </c>
    </row>
    <row r="105" spans="13:13" x14ac:dyDescent="0.25">
      <c r="M105">
        <v>2.8</v>
      </c>
    </row>
    <row r="106" spans="13:13" x14ac:dyDescent="0.25">
      <c r="M106">
        <v>2.9</v>
      </c>
    </row>
    <row r="107" spans="13:13" x14ac:dyDescent="0.25">
      <c r="M107">
        <v>3</v>
      </c>
    </row>
    <row r="108" spans="13:13" x14ac:dyDescent="0.25">
      <c r="M108">
        <v>2.9</v>
      </c>
    </row>
    <row r="109" spans="13:13" x14ac:dyDescent="0.25">
      <c r="M109">
        <v>2.8</v>
      </c>
    </row>
    <row r="110" spans="13:13" x14ac:dyDescent="0.25">
      <c r="M110">
        <v>2.9</v>
      </c>
    </row>
    <row r="111" spans="13:13" x14ac:dyDescent="0.25">
      <c r="M111">
        <v>2.8</v>
      </c>
    </row>
    <row r="112" spans="13:13" x14ac:dyDescent="0.25">
      <c r="M112">
        <v>2.9</v>
      </c>
    </row>
    <row r="113" spans="13:13" x14ac:dyDescent="0.25">
      <c r="M113">
        <v>3</v>
      </c>
    </row>
    <row r="114" spans="13:13" x14ac:dyDescent="0.25">
      <c r="M114">
        <v>3</v>
      </c>
    </row>
    <row r="115" spans="13:13" x14ac:dyDescent="0.25">
      <c r="M115">
        <v>2.8</v>
      </c>
    </row>
    <row r="116" spans="13:13" x14ac:dyDescent="0.25">
      <c r="M116">
        <v>2.8</v>
      </c>
    </row>
    <row r="117" spans="13:13" x14ac:dyDescent="0.25">
      <c r="M117">
        <v>2.8</v>
      </c>
    </row>
    <row r="118" spans="13:13" x14ac:dyDescent="0.25">
      <c r="M118">
        <v>2.9</v>
      </c>
    </row>
    <row r="119" spans="13:13" x14ac:dyDescent="0.25">
      <c r="M119">
        <v>3</v>
      </c>
    </row>
    <row r="120" spans="13:13" x14ac:dyDescent="0.25">
      <c r="M120">
        <v>2.9</v>
      </c>
    </row>
    <row r="121" spans="13:13" x14ac:dyDescent="0.25">
      <c r="M121">
        <v>2.8</v>
      </c>
    </row>
    <row r="122" spans="13:13" x14ac:dyDescent="0.25">
      <c r="M122">
        <v>2.9</v>
      </c>
    </row>
    <row r="123" spans="13:13" x14ac:dyDescent="0.25">
      <c r="M123">
        <v>2.8</v>
      </c>
    </row>
    <row r="124" spans="13:13" x14ac:dyDescent="0.25">
      <c r="M124">
        <v>2.9</v>
      </c>
    </row>
    <row r="125" spans="13:13" x14ac:dyDescent="0.25">
      <c r="M125">
        <v>3</v>
      </c>
    </row>
    <row r="126" spans="13:13" x14ac:dyDescent="0.25">
      <c r="M126">
        <v>2.9</v>
      </c>
    </row>
    <row r="127" spans="13:13" x14ac:dyDescent="0.25">
      <c r="M127">
        <v>2.8</v>
      </c>
    </row>
    <row r="128" spans="13:13" x14ac:dyDescent="0.25">
      <c r="M128">
        <v>2.9</v>
      </c>
    </row>
    <row r="129" spans="13:13" x14ac:dyDescent="0.25">
      <c r="M129">
        <v>2.8</v>
      </c>
    </row>
  </sheetData>
  <mergeCells count="1">
    <mergeCell ref="F7:K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336D1C2440994F882FE3D04D8911CE" ma:contentTypeVersion="13" ma:contentTypeDescription="Crear nuevo documento." ma:contentTypeScope="" ma:versionID="65db773423f7536f9a527f33e0567572">
  <xsd:schema xmlns:xsd="http://www.w3.org/2001/XMLSchema" xmlns:xs="http://www.w3.org/2001/XMLSchema" xmlns:p="http://schemas.microsoft.com/office/2006/metadata/properties" xmlns:ns3="6da35d75-3f57-4459-8bdb-8eee92157290" xmlns:ns4="cceaccb9-55bd-43ea-953e-5924338775c0" targetNamespace="http://schemas.microsoft.com/office/2006/metadata/properties" ma:root="true" ma:fieldsID="1a3037bb2dbfad5264b3f597d91364f0" ns3:_="" ns4:_="">
    <xsd:import namespace="6da35d75-3f57-4459-8bdb-8eee92157290"/>
    <xsd:import namespace="cceaccb9-55bd-43ea-953e-5924338775c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a35d75-3f57-4459-8bdb-8eee9215729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eaccb9-55bd-43ea-953e-5924338775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1FAAD1-A452-4BA4-AADD-C9C785794906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6da35d75-3f57-4459-8bdb-8eee92157290"/>
    <ds:schemaRef ds:uri="http://schemas.microsoft.com/office/2006/metadata/properties"/>
    <ds:schemaRef ds:uri="cceaccb9-55bd-43ea-953e-5924338775c0"/>
    <ds:schemaRef ds:uri="http://www.w3.org/XML/1998/namespace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783FE01-CCF9-459C-BBEB-3652629CC7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7F0CE91-EB3E-4FC6-9069-B854570596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a35d75-3f57-4459-8bdb-8eee92157290"/>
    <ds:schemaRef ds:uri="cceaccb9-55bd-43ea-953e-5924338775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</dc:creator>
  <cp:lastModifiedBy>Santiago Devia Valderrama</cp:lastModifiedBy>
  <dcterms:created xsi:type="dcterms:W3CDTF">2019-09-15T17:20:40Z</dcterms:created>
  <dcterms:modified xsi:type="dcterms:W3CDTF">2019-09-16T15:50:05Z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0x010100EE336D1C2440994F882FE3D04D8911CE</vt:lpwstr>
  </property>
</Properties>
</file>